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yavapaicollege-my.sharepoint.com/personal/lgomez4_yc_edu/Documents/Desktop/CSA214 Final/"/>
    </mc:Choice>
  </mc:AlternateContent>
  <xr:revisionPtr revIDLastSave="2" documentId="8_{43DA707F-73DA-4E50-8D95-B6A212F18D41}" xr6:coauthVersionLast="47" xr6:coauthVersionMax="47" xr10:uidLastSave="{BDD622D4-0B7E-46BB-9EA0-4371B5E246D6}"/>
  <bookViews>
    <workbookView xWindow="-75" yWindow="0" windowWidth="18015" windowHeight="20985" firstSheet="3" activeTab="5" xr2:uid="{7D2652EF-87CE-4682-A3D3-B2A239D6C07E}"/>
  </bookViews>
  <sheets>
    <sheet name="Arizona_FRED_Housing_CLEAN" sheetId="3" r:id="rId1"/>
    <sheet name="Arizona_Census_Housing_CLEAN" sheetId="2" r:id="rId2"/>
    <sheet name="Arizona_FRED_Annual_ANALYSIS" sheetId="4" r:id="rId3"/>
    <sheet name="Pivots" sheetId="5" r:id="rId4"/>
    <sheet name="Dashboard" sheetId="6" r:id="rId5"/>
    <sheet name="Arizona_Housing_Affordability_D" sheetId="1" r:id="rId6"/>
  </sheets>
  <definedNames>
    <definedName name="Slicer_County">#N/A</definedName>
  </definedNames>
  <calcPr calcId="191029"/>
  <pivotCaches>
    <pivotCache cacheId="0" r:id="rId7"/>
    <pivotCache cacheId="51" r:id="rId8"/>
    <pivotCache cacheId="54" r:id="rId9"/>
    <pivotCache cacheId="57" r:id="rId10"/>
    <pivotCache cacheId="60"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rizona_Census_Housing_CLEAN_bceda4e2-a7fd-4d33-b1ac-2dd1d963cb17" name="Arizona_Census_Housing_CLEAN" connection="Query - Arizona_Census_Housing_CLEAN"/>
          <x15:modelTable id="Arizona_FRED_Housing_CLEAN_7b5ae1a1-2f5d-439b-84e6-fd983b681c07" name="Arizona_FRED_Housing_CLEAN" connection="Query - Arizona_FRED_Housing_CLEAN"/>
          <x15:modelTable id="Arizona_FRED_Annual_ANALYSIS_2f32547d-3bad-497a-804b-c1591d49d320" name="Arizona_FRED_Annual_ANALYSIS" connection="Query - Arizona_FRED_Annual_ANALYSIS"/>
        </x15:modelTables>
        <x15:modelRelationships>
          <x15:modelRelationship fromTable="Arizona_Census_Housing_CLEAN" fromColumn="Year" toTable="Arizona_FRED_Annual_ANALYSIS"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6" l="1"/>
  <c r="D5" i="6"/>
  <c r="B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67CEBD-A5B3-4387-86BC-7ADF140B1E10}" name="Query - Arizona_Census_Housing_CLEAN" description="Connection to the 'Arizona_Census_Housing_CLEAN' query in the workbook." type="100" refreshedVersion="8" minRefreshableVersion="5">
    <extLst>
      <ext xmlns:x15="http://schemas.microsoft.com/office/spreadsheetml/2010/11/main" uri="{DE250136-89BD-433C-8126-D09CA5730AF9}">
        <x15:connection id="5a84e9d8-f637-4d8d-a4ec-d639fbb291c2"/>
      </ext>
    </extLst>
  </connection>
  <connection id="2" xr16:uid="{D9723AB7-470F-48AA-B259-85D78CE7DD2A}" name="Query - Arizona_FRED_Annual_ANALYSIS" description="Connection to the 'Arizona_FRED_Annual_ANALYSIS' query in the workbook." type="100" refreshedVersion="8" minRefreshableVersion="5">
    <extLst>
      <ext xmlns:x15="http://schemas.microsoft.com/office/spreadsheetml/2010/11/main" uri="{DE250136-89BD-433C-8126-D09CA5730AF9}">
        <x15:connection id="5be0bedc-ce61-461f-b474-839a30c251e2"/>
      </ext>
    </extLst>
  </connection>
  <connection id="3" xr16:uid="{7BB7AFDB-343B-4F1F-A6C8-AEA771176C09}" name="Query - Arizona_FRED_Housing_CLEAN" description="Connection to the 'Arizona_FRED_Housing_CLEAN' query in the workbook." type="100" refreshedVersion="8" minRefreshableVersion="5">
    <extLst>
      <ext xmlns:x15="http://schemas.microsoft.com/office/spreadsheetml/2010/11/main" uri="{DE250136-89BD-433C-8126-D09CA5730AF9}">
        <x15:connection id="a21bbfbc-6111-4583-a627-714216b915d5"/>
      </ext>
    </extLst>
  </connection>
  <connection id="4" xr16:uid="{D6E9B166-7324-4E33-B9E3-BCCBBF22ED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rizona_Census_Housing_CLEAN].[Year].&amp;[2024]}"/>
  </metadataStrings>
  <mdxMetadata count="1">
    <mdx n="0" f="s">
      <ms ns="1" c="0"/>
    </mdx>
  </mdxMetadata>
  <valueMetadata count="1">
    <bk>
      <rc t="1" v="0"/>
    </bk>
  </valueMetadata>
</metadata>
</file>

<file path=xl/sharedStrings.xml><?xml version="1.0" encoding="utf-8"?>
<sst xmlns="http://schemas.openxmlformats.org/spreadsheetml/2006/main" count="66" uniqueCount="36">
  <si>
    <t>Year</t>
  </si>
  <si>
    <t>Median Household Income</t>
  </si>
  <si>
    <t>Median Home Value</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</si>
  <si>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</si>
  <si>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</si>
  <si>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</si>
  <si>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</si>
  <si>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</si>
  <si>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</si>
  <si>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</si>
  <si>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</si>
  <si>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</si>
  <si>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</si>
  <si>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</si>
  <si>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</si>
  <si>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</si>
  <si>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</si>
  <si>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</si>
  <si>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Arizona House Price Index</t>
  </si>
  <si>
    <t>30-Year Mortgage Rate</t>
  </si>
  <si>
    <t>Row Labels</t>
  </si>
  <si>
    <t>Grand Total</t>
  </si>
  <si>
    <t>Home Value</t>
  </si>
  <si>
    <t>Household Income</t>
  </si>
  <si>
    <t>Determine whether home values grew faster than income</t>
  </si>
  <si>
    <t>Compare income and home-value trends from 2015-2024</t>
  </si>
  <si>
    <t>Average of Home Value to Income Ratio</t>
  </si>
  <si>
    <t>2024</t>
  </si>
  <si>
    <t>3/4/5</t>
  </si>
  <si>
    <t>Rent Growth</t>
  </si>
  <si>
    <t>2/6</t>
  </si>
  <si>
    <t>Population Growth %</t>
  </si>
  <si>
    <t>ARIZONA HOUSING AFFORDABILITY</t>
  </si>
  <si>
    <t>Income, Home Values &amp; Market Trends | 2015–2024</t>
  </si>
  <si>
    <t>Income Growth</t>
  </si>
  <si>
    <t>Home Value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</si>
</sst>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0"/>
      <color theme="0"/>
      <name val="Aptos Narrow"/>
      <family val="2"/>
      <scheme val="minor"/>
    </font>
    <font>
      <i/>
      <sz val="11"/>
      <color theme="0"/>
      <name val="Aptos Narrow"/>
      <family val="2"/>
      <scheme val="minor"/>
    </font>
    <font>
      <b/>
      <sz val="1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0" borderId="0" xfId="0" applyFont="1" applyAlignment="1">
      <alignment horizontal="left"/>
    </xf>
    <xf numFmtId="49" fontId="18" fillId="0" borderId="0" xfId="0" applyNumberFormat="1" applyFont="1" applyAlignment="1">
      <alignment horizontal="left"/>
    </xf>
    <xf numFmtId="0" fontId="19" fillId="33" borderId="0" xfId="0" applyFont="1" applyFill="1"/>
    <xf numFmtId="0" fontId="17" fillId="33" borderId="0" xfId="0" applyFont="1" applyFill="1"/>
    <xf numFmtId="0" fontId="20" fillId="33" borderId="0" xfId="0" applyFont="1" applyFill="1"/>
    <xf numFmtId="0" fontId="17" fillId="34" borderId="10" xfId="0" applyFont="1" applyFill="1" applyBorder="1"/>
    <xf numFmtId="0" fontId="17" fillId="34" borderId="11" xfId="0" applyFont="1" applyFill="1" applyBorder="1"/>
    <xf numFmtId="164" fontId="21" fillId="34" borderId="12" xfId="42" applyNumberFormat="1" applyFont="1" applyFill="1" applyBorder="1" applyAlignment="1">
      <alignment horizontal="center"/>
    </xf>
    <xf numFmtId="164" fontId="21" fillId="34" borderId="13" xfId="42"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color theme="0"/>
      </font>
      <fill>
        <patternFill>
          <bgColor theme="7" tint="-0.24994659260841701"/>
        </patternFill>
      </fill>
    </dxf>
  </dxfs>
  <tableStyles count="1" defaultTableStyle="TableStyleMedium2" defaultPivotStyle="PivotStyleLight16">
    <tableStyle name="Slicer Style 1" pivot="0" table="0" count="3" xr9:uid="{2C1EE88B-F73F-40CB-93BB-DBBA40AF6B8A}">
      <tableStyleElement type="wholeTable" dxfId="0"/>
    </tableStyle>
  </tableStyles>
  <extLst>
    <ext xmlns:x14="http://schemas.microsoft.com/office/spreadsheetml/2009/9/main" uri="{46F421CA-312F-682f-3DD2-61675219B42D}">
      <x14:dxfs count="2">
        <dxf>
          <fill>
            <patternFill>
              <bgColor theme="5"/>
            </patternFill>
          </fill>
        </dxf>
        <dxf>
          <font>
            <b/>
            <i val="0"/>
            <color auto="1"/>
          </font>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Arizona Household</a:t>
            </a:r>
            <a:r>
              <a:rPr lang="en-US" baseline="0"/>
              <a:t> Income vs Home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8216195197823"/>
          <c:y val="0.12179388702595363"/>
          <c:w val="0.87746864975211436"/>
          <c:h val="0.75146666800982687"/>
        </c:manualLayout>
      </c:layout>
      <c:lineChart>
        <c:grouping val="standard"/>
        <c:varyColors val="0"/>
        <c:ser>
          <c:idx val="0"/>
          <c:order val="0"/>
          <c:tx>
            <c:strRef>
              <c:f>Pivots!$C$3</c:f>
              <c:strCache>
                <c:ptCount val="1"/>
                <c:pt idx="0">
                  <c:v>Median Household Income</c:v>
                </c:pt>
              </c:strCache>
            </c:strRef>
          </c:tx>
          <c:spPr>
            <a:ln w="28575" cap="rnd">
              <a:solidFill>
                <a:schemeClr val="accent1"/>
              </a:solidFill>
              <a:round/>
            </a:ln>
            <a:effectLst/>
          </c:spPr>
          <c:marker>
            <c:symbol val="none"/>
          </c:marker>
          <c:cat>
            <c:strRef>
              <c:f>Pivots!$B$4:$B$14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Pivots!$C$4:$C$14</c:f>
              <c:numCache>
                <c:formatCode>General</c:formatCode>
                <c:ptCount val="10"/>
                <c:pt idx="0">
                  <c:v>40743</c:v>
                </c:pt>
                <c:pt idx="1">
                  <c:v>41467</c:v>
                </c:pt>
                <c:pt idx="2">
                  <c:v>43253</c:v>
                </c:pt>
                <c:pt idx="3">
                  <c:v>44058</c:v>
                </c:pt>
                <c:pt idx="4">
                  <c:v>45243</c:v>
                </c:pt>
                <c:pt idx="5">
                  <c:v>48790</c:v>
                </c:pt>
                <c:pt idx="6">
                  <c:v>52563</c:v>
                </c:pt>
                <c:pt idx="7">
                  <c:v>56439</c:v>
                </c:pt>
                <c:pt idx="8">
                  <c:v>60417</c:v>
                </c:pt>
                <c:pt idx="9">
                  <c:v>62876</c:v>
                </c:pt>
              </c:numCache>
            </c:numRef>
          </c:val>
          <c:smooth val="0"/>
          <c:extLst>
            <c:ext xmlns:c16="http://schemas.microsoft.com/office/drawing/2014/chart" uri="{C3380CC4-5D6E-409C-BE32-E72D297353CC}">
              <c16:uniqueId val="{00000000-3917-46D2-A278-166A3C1FDDC4}"/>
            </c:ext>
          </c:extLst>
        </c:ser>
        <c:ser>
          <c:idx val="1"/>
          <c:order val="1"/>
          <c:tx>
            <c:strRef>
              <c:f>Pivots!$D$3</c:f>
              <c:strCache>
                <c:ptCount val="1"/>
                <c:pt idx="0">
                  <c:v>Median Home Value</c:v>
                </c:pt>
              </c:strCache>
            </c:strRef>
          </c:tx>
          <c:spPr>
            <a:ln w="28575" cap="rnd">
              <a:solidFill>
                <a:schemeClr val="accent2"/>
              </a:solidFill>
              <a:round/>
            </a:ln>
            <a:effectLst/>
          </c:spPr>
          <c:marker>
            <c:symbol val="none"/>
          </c:marker>
          <c:cat>
            <c:strRef>
              <c:f>Pivots!$B$4:$B$14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Pivots!$D$4:$D$14</c:f>
              <c:numCache>
                <c:formatCode>General</c:formatCode>
                <c:ptCount val="10"/>
                <c:pt idx="0">
                  <c:v>112100</c:v>
                </c:pt>
                <c:pt idx="1">
                  <c:v>113400</c:v>
                </c:pt>
                <c:pt idx="2">
                  <c:v>117000</c:v>
                </c:pt>
                <c:pt idx="3">
                  <c:v>122000</c:v>
                </c:pt>
                <c:pt idx="4">
                  <c:v>127900</c:v>
                </c:pt>
                <c:pt idx="5">
                  <c:v>139200</c:v>
                </c:pt>
                <c:pt idx="6">
                  <c:v>148900</c:v>
                </c:pt>
                <c:pt idx="7">
                  <c:v>173500</c:v>
                </c:pt>
                <c:pt idx="8">
                  <c:v>195700</c:v>
                </c:pt>
                <c:pt idx="9">
                  <c:v>217800</c:v>
                </c:pt>
              </c:numCache>
            </c:numRef>
          </c:val>
          <c:smooth val="0"/>
          <c:extLst>
            <c:ext xmlns:c16="http://schemas.microsoft.com/office/drawing/2014/chart" uri="{C3380CC4-5D6E-409C-BE32-E72D297353CC}">
              <c16:uniqueId val="{00000001-3917-46D2-A278-166A3C1FDDC4}"/>
            </c:ext>
          </c:extLst>
        </c:ser>
        <c:dLbls>
          <c:showLegendKey val="0"/>
          <c:showVal val="0"/>
          <c:showCatName val="0"/>
          <c:showSerName val="0"/>
          <c:showPercent val="0"/>
          <c:showBubbleSize val="0"/>
        </c:dLbls>
        <c:smooth val="0"/>
        <c:axId val="471212431"/>
        <c:axId val="471215311"/>
      </c:lineChart>
      <c:catAx>
        <c:axId val="4712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1215311"/>
        <c:crosses val="autoZero"/>
        <c:auto val="1"/>
        <c:lblAlgn val="ctr"/>
        <c:lblOffset val="100"/>
        <c:noMultiLvlLbl val="0"/>
      </c:catAx>
      <c:valAx>
        <c:axId val="471215311"/>
        <c:scaling>
          <c:orientation val="minMax"/>
          <c:max val="300000"/>
          <c:min val="30000"/>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1212431"/>
        <c:crosses val="autoZero"/>
        <c:crossBetween val="between"/>
      </c:valAx>
      <c:spPr>
        <a:noFill/>
        <a:ln>
          <a:noFill/>
        </a:ln>
        <a:effectLst/>
      </c:spPr>
    </c:plotArea>
    <c:legend>
      <c:legendPos val="r"/>
      <c:layout>
        <c:manualLayout>
          <c:xMode val="edge"/>
          <c:yMode val="edge"/>
          <c:x val="0.55879016369836565"/>
          <c:y val="0.6313113315293013"/>
          <c:w val="0.43843197725284339"/>
          <c:h val="0.1050227476776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a:t>Income vs. Home Value Growth (2015–2024)</a:t>
            </a:r>
          </a:p>
        </c:rich>
      </c:tx>
      <c:layout>
        <c:manualLayout>
          <c:xMode val="edge"/>
          <c:yMode val="edge"/>
          <c:x val="0.1362582943688303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1282184592411"/>
          <c:y val="0.15277777777777779"/>
          <c:w val="0.8289508508493193"/>
          <c:h val="0.79629629629629628"/>
        </c:manualLayout>
      </c:layout>
      <c:barChart>
        <c:barDir val="col"/>
        <c:grouping val="clustered"/>
        <c:varyColors val="0"/>
        <c:ser>
          <c:idx val="0"/>
          <c:order val="0"/>
          <c:tx>
            <c:strRef>
              <c:f>Pivots!$J$3</c:f>
              <c:strCache>
                <c:ptCount val="1"/>
                <c:pt idx="0">
                  <c:v>Household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c:f>
              <c:strCache>
                <c:ptCount val="1"/>
                <c:pt idx="0">
                  <c:v>Total</c:v>
                </c:pt>
              </c:strCache>
            </c:strRef>
          </c:cat>
          <c:val>
            <c:numRef>
              <c:f>Pivots!$J$4</c:f>
              <c:numCache>
                <c:formatCode>0.0%</c:formatCode>
                <c:ptCount val="1"/>
                <c:pt idx="0">
                  <c:v>0.54323442063667382</c:v>
                </c:pt>
              </c:numCache>
            </c:numRef>
          </c:val>
          <c:extLst>
            <c:ext xmlns:c16="http://schemas.microsoft.com/office/drawing/2014/chart" uri="{C3380CC4-5D6E-409C-BE32-E72D297353CC}">
              <c16:uniqueId val="{00000000-6930-4E86-82D7-1CBD5295AAB9}"/>
            </c:ext>
          </c:extLst>
        </c:ser>
        <c:ser>
          <c:idx val="1"/>
          <c:order val="1"/>
          <c:tx>
            <c:strRef>
              <c:f>Pivots!$K$3</c:f>
              <c:strCache>
                <c:ptCount val="1"/>
                <c:pt idx="0">
                  <c:v>Home 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c:f>
              <c:strCache>
                <c:ptCount val="1"/>
                <c:pt idx="0">
                  <c:v>Total</c:v>
                </c:pt>
              </c:strCache>
            </c:strRef>
          </c:cat>
          <c:val>
            <c:numRef>
              <c:f>Pivots!$K$4</c:f>
              <c:numCache>
                <c:formatCode>0.0%</c:formatCode>
                <c:ptCount val="1"/>
                <c:pt idx="0">
                  <c:v>0.94290811775200711</c:v>
                </c:pt>
              </c:numCache>
            </c:numRef>
          </c:val>
          <c:extLst>
            <c:ext xmlns:c16="http://schemas.microsoft.com/office/drawing/2014/chart" uri="{C3380CC4-5D6E-409C-BE32-E72D297353CC}">
              <c16:uniqueId val="{00000001-6930-4E86-82D7-1CBD5295AAB9}"/>
            </c:ext>
          </c:extLst>
        </c:ser>
        <c:ser>
          <c:idx val="2"/>
          <c:order val="2"/>
          <c:tx>
            <c:strRef>
              <c:f>Pivots!$L$3</c:f>
              <c:strCache>
                <c:ptCount val="1"/>
                <c:pt idx="0">
                  <c:v>Rent Growth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c:f>
              <c:strCache>
                <c:ptCount val="1"/>
                <c:pt idx="0">
                  <c:v>Total</c:v>
                </c:pt>
              </c:strCache>
            </c:strRef>
          </c:cat>
          <c:val>
            <c:numRef>
              <c:f>Pivots!$L$4</c:f>
              <c:numCache>
                <c:formatCode>0.0%</c:formatCode>
                <c:ptCount val="1"/>
                <c:pt idx="0">
                  <c:v>0.1835518474374255</c:v>
                </c:pt>
              </c:numCache>
            </c:numRef>
          </c:val>
          <c:extLst>
            <c:ext xmlns:c16="http://schemas.microsoft.com/office/drawing/2014/chart" uri="{C3380CC4-5D6E-409C-BE32-E72D297353CC}">
              <c16:uniqueId val="{00000003-6930-4E86-82D7-1CBD5295AAB9}"/>
            </c:ext>
          </c:extLst>
        </c:ser>
        <c:dLbls>
          <c:dLblPos val="outEnd"/>
          <c:showLegendKey val="0"/>
          <c:showVal val="1"/>
          <c:showCatName val="0"/>
          <c:showSerName val="0"/>
          <c:showPercent val="0"/>
          <c:showBubbleSize val="0"/>
        </c:dLbls>
        <c:gapWidth val="219"/>
        <c:overlap val="-27"/>
        <c:axId val="61928799"/>
        <c:axId val="351435359"/>
      </c:barChart>
      <c:catAx>
        <c:axId val="61928799"/>
        <c:scaling>
          <c:orientation val="minMax"/>
        </c:scaling>
        <c:delete val="1"/>
        <c:axPos val="b"/>
        <c:numFmt formatCode="General" sourceLinked="1"/>
        <c:majorTickMark val="none"/>
        <c:minorTickMark val="none"/>
        <c:tickLblPos val="nextTo"/>
        <c:crossAx val="351435359"/>
        <c:crosses val="autoZero"/>
        <c:auto val="1"/>
        <c:lblAlgn val="ctr"/>
        <c:lblOffset val="100"/>
        <c:noMultiLvlLbl val="0"/>
      </c:catAx>
      <c:valAx>
        <c:axId val="3514353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8799"/>
        <c:crosses val="autoZero"/>
        <c:crossBetween val="between"/>
      </c:valAx>
      <c:spPr>
        <a:noFill/>
        <a:ln>
          <a:noFill/>
        </a:ln>
        <a:effectLst/>
      </c:spPr>
    </c:plotArea>
    <c:legend>
      <c:legendPos val="r"/>
      <c:layout>
        <c:manualLayout>
          <c:xMode val="edge"/>
          <c:yMode val="edge"/>
          <c:x val="0.12735542432195976"/>
          <c:y val="0.29687445319335076"/>
          <c:w val="0.40365817378601831"/>
          <c:h val="0.21527996500437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Home Value-to-Income Ratio by County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9046369203851"/>
          <c:y val="0.1116190898672877"/>
          <c:w val="0.73767694663167105"/>
          <c:h val="0.78135196480721603"/>
        </c:manualLayout>
      </c:layout>
      <c:barChart>
        <c:barDir val="bar"/>
        <c:grouping val="clustered"/>
        <c:varyColors val="0"/>
        <c:ser>
          <c:idx val="0"/>
          <c:order val="0"/>
          <c:tx>
            <c:strRef>
              <c:f>Pivots!$N$5</c:f>
              <c:strCache>
                <c:ptCount val="1"/>
                <c:pt idx="0">
                  <c:v>Total</c:v>
                </c:pt>
              </c:strCache>
            </c:strRef>
          </c:tx>
          <c:spPr>
            <a:solidFill>
              <a:schemeClr val="accent1"/>
            </a:solidFill>
            <a:ln>
              <a:noFill/>
            </a:ln>
            <a:effectLst/>
          </c:spPr>
          <c:invertIfNegative val="0"/>
          <c:cat>
            <c:strRef>
              <c:f>Pivots!$M$6:$M$21</c:f>
              <c:strCache>
                <c:ptCount val="15"/>
                <c:pt idx="0">
                  <c:v>Apache County</c:v>
                </c:pt>
                <c:pt idx="1">
                  <c:v>Greenlee County</c:v>
                </c:pt>
                <c:pt idx="2">
                  <c:v>La Paz County</c:v>
                </c:pt>
                <c:pt idx="3">
                  <c:v>Graham County</c:v>
                </c:pt>
                <c:pt idx="4">
                  <c:v>Yuma County</c:v>
                </c:pt>
                <c:pt idx="5">
                  <c:v>Cochise County</c:v>
                </c:pt>
                <c:pt idx="6">
                  <c:v>Navajo County</c:v>
                </c:pt>
                <c:pt idx="7">
                  <c:v>Santa Cruz County</c:v>
                </c:pt>
                <c:pt idx="8">
                  <c:v>Gila County</c:v>
                </c:pt>
                <c:pt idx="9">
                  <c:v>Pinal County</c:v>
                </c:pt>
                <c:pt idx="10">
                  <c:v>Pima County</c:v>
                </c:pt>
                <c:pt idx="11">
                  <c:v>Mohave County</c:v>
                </c:pt>
                <c:pt idx="12">
                  <c:v>Maricopa County</c:v>
                </c:pt>
                <c:pt idx="13">
                  <c:v>Yavapai County</c:v>
                </c:pt>
                <c:pt idx="14">
                  <c:v>Coconino County</c:v>
                </c:pt>
              </c:strCache>
            </c:strRef>
          </c:cat>
          <c:val>
            <c:numRef>
              <c:f>Pivots!$N$6:$N$21</c:f>
              <c:numCache>
                <c:formatCode>General</c:formatCode>
                <c:ptCount val="15"/>
                <c:pt idx="0">
                  <c:v>1.54</c:v>
                </c:pt>
                <c:pt idx="1">
                  <c:v>2.23</c:v>
                </c:pt>
                <c:pt idx="2">
                  <c:v>2.74</c:v>
                </c:pt>
                <c:pt idx="3">
                  <c:v>3.15</c:v>
                </c:pt>
                <c:pt idx="4">
                  <c:v>3.46</c:v>
                </c:pt>
                <c:pt idx="5">
                  <c:v>3.65</c:v>
                </c:pt>
                <c:pt idx="6">
                  <c:v>3.69</c:v>
                </c:pt>
                <c:pt idx="7">
                  <c:v>4.22</c:v>
                </c:pt>
                <c:pt idx="8">
                  <c:v>4.3499999999999996</c:v>
                </c:pt>
                <c:pt idx="9">
                  <c:v>4.3499999999999996</c:v>
                </c:pt>
                <c:pt idx="10">
                  <c:v>4.55</c:v>
                </c:pt>
                <c:pt idx="11">
                  <c:v>4.87</c:v>
                </c:pt>
                <c:pt idx="12">
                  <c:v>5.07</c:v>
                </c:pt>
                <c:pt idx="13">
                  <c:v>6.11</c:v>
                </c:pt>
                <c:pt idx="14">
                  <c:v>6.14</c:v>
                </c:pt>
              </c:numCache>
            </c:numRef>
          </c:val>
          <c:extLst>
            <c:ext xmlns:c16="http://schemas.microsoft.com/office/drawing/2014/chart" uri="{C3380CC4-5D6E-409C-BE32-E72D297353CC}">
              <c16:uniqueId val="{00000000-347A-42CF-BC39-3CCB45AA8DD4}"/>
            </c:ext>
          </c:extLst>
        </c:ser>
        <c:dLbls>
          <c:showLegendKey val="0"/>
          <c:showVal val="0"/>
          <c:showCatName val="0"/>
          <c:showSerName val="0"/>
          <c:showPercent val="0"/>
          <c:showBubbleSize val="0"/>
        </c:dLbls>
        <c:gapWidth val="18"/>
        <c:axId val="406144400"/>
        <c:axId val="406154960"/>
      </c:barChart>
      <c:catAx>
        <c:axId val="406144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06154960"/>
        <c:crosses val="autoZero"/>
        <c:auto val="1"/>
        <c:lblAlgn val="ctr"/>
        <c:lblOffset val="100"/>
        <c:noMultiLvlLbl val="0"/>
      </c:catAx>
      <c:valAx>
        <c:axId val="4061549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44400"/>
        <c:crosses val="autoZero"/>
        <c:crossBetween val="between"/>
      </c:valAx>
      <c:spPr>
        <a:noFill/>
        <a:ln>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Population Growth vs. Home Value Growth (2015–2024)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Pivots!$V$3</c:f>
              <c:strCache>
                <c:ptCount val="1"/>
                <c:pt idx="0">
                  <c:v>Home Value</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Pivots!$U$4:$U$19</c:f>
              <c:numCache>
                <c:formatCode>General</c:formatCode>
                <c:ptCount val="16"/>
                <c:pt idx="0">
                  <c:v>-9.4046364594309803E-2</c:v>
                </c:pt>
                <c:pt idx="1">
                  <c:v>-3.1477781977215055E-2</c:v>
                </c:pt>
                <c:pt idx="2">
                  <c:v>5.7110043086736749E-2</c:v>
                </c:pt>
                <c:pt idx="3">
                  <c:v>1.1849901250822911E-2</c:v>
                </c:pt>
                <c:pt idx="4">
                  <c:v>4.8787660063624456E-2</c:v>
                </c:pt>
                <c:pt idx="5">
                  <c:v>4.2779563338135873E-2</c:v>
                </c:pt>
                <c:pt idx="6">
                  <c:v>-0.18052618637816573</c:v>
                </c:pt>
                <c:pt idx="7">
                  <c:v>0.13478987681623078</c:v>
                </c:pt>
                <c:pt idx="8">
                  <c:v>8.435695951062637E-2</c:v>
                </c:pt>
                <c:pt idx="9">
                  <c:v>7.0502340789180351E-3</c:v>
                </c:pt>
                <c:pt idx="10">
                  <c:v>6.2043770035562031E-2</c:v>
                </c:pt>
                <c:pt idx="11">
                  <c:v>0.20328294490112167</c:v>
                </c:pt>
                <c:pt idx="12">
                  <c:v>3.9364391477067537E-2</c:v>
                </c:pt>
                <c:pt idx="13">
                  <c:v>0.13650252782458935</c:v>
                </c:pt>
                <c:pt idx="14">
                  <c:v>4.3125914467428951E-2</c:v>
                </c:pt>
                <c:pt idx="15">
                  <c:v>0.11094820660507004</c:v>
                </c:pt>
              </c:numCache>
            </c:numRef>
          </c:xVal>
          <c:yVal>
            <c:numRef>
              <c:f>Pivots!$V$4:$V$19</c:f>
              <c:numCache>
                <c:formatCode>General</c:formatCode>
                <c:ptCount val="16"/>
                <c:pt idx="0">
                  <c:v>-0.23529411764705882</c:v>
                </c:pt>
                <c:pt idx="1">
                  <c:v>0.51702571230020844</c:v>
                </c:pt>
                <c:pt idx="2">
                  <c:v>1.0428636570907432</c:v>
                </c:pt>
                <c:pt idx="3">
                  <c:v>1.007451564828614</c:v>
                </c:pt>
                <c:pt idx="4">
                  <c:v>0.71938361719383614</c:v>
                </c:pt>
                <c:pt idx="5">
                  <c:v>0.91777509068923824</c:v>
                </c:pt>
                <c:pt idx="6">
                  <c:v>0.9652677279305355</c:v>
                </c:pt>
                <c:pt idx="7">
                  <c:v>1.4200962052378407</c:v>
                </c:pt>
                <c:pt idx="8">
                  <c:v>1.2808441558441559</c:v>
                </c:pt>
                <c:pt idx="9">
                  <c:v>0.93007662835249039</c:v>
                </c:pt>
                <c:pt idx="10">
                  <c:v>0.99937460913070664</c:v>
                </c:pt>
                <c:pt idx="11">
                  <c:v>1.7117327117327117</c:v>
                </c:pt>
                <c:pt idx="12">
                  <c:v>0.7007299270072993</c:v>
                </c:pt>
                <c:pt idx="13">
                  <c:v>1.2592986184909671</c:v>
                </c:pt>
                <c:pt idx="14">
                  <c:v>0.94290811775200711</c:v>
                </c:pt>
                <c:pt idx="15">
                  <c:v>0.99649368863955101</c:v>
                </c:pt>
              </c:numCache>
            </c:numRef>
          </c:yVal>
          <c:smooth val="0"/>
          <c:extLst>
            <c:ext xmlns:c16="http://schemas.microsoft.com/office/drawing/2014/chart" uri="{C3380CC4-5D6E-409C-BE32-E72D297353CC}">
              <c16:uniqueId val="{00000000-CACA-4EE2-A685-4E9104119960}"/>
            </c:ext>
          </c:extLst>
        </c:ser>
        <c:dLbls>
          <c:showLegendKey val="0"/>
          <c:showVal val="0"/>
          <c:showCatName val="0"/>
          <c:showSerName val="0"/>
          <c:showPercent val="0"/>
          <c:showBubbleSize val="0"/>
        </c:dLbls>
        <c:axId val="406166000"/>
        <c:axId val="406150160"/>
      </c:scatterChart>
      <c:valAx>
        <c:axId val="406166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Growth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50160"/>
        <c:crosses val="autoZero"/>
        <c:crossBetween val="midCat"/>
      </c:valAx>
      <c:valAx>
        <c:axId val="40615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 Value</a:t>
                </a:r>
                <a:r>
                  <a:rPr lang="en-US" baseline="0"/>
                  <a:t> Growth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66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Arizona House Prices vs. Mortgage Rates (2015–2024)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3273423074452"/>
          <c:y val="0.16652726954283675"/>
          <c:w val="0.74462528588776933"/>
          <c:h val="0.71417298792817785"/>
        </c:manualLayout>
      </c:layout>
      <c:barChart>
        <c:barDir val="col"/>
        <c:grouping val="clustered"/>
        <c:varyColors val="0"/>
        <c:ser>
          <c:idx val="0"/>
          <c:order val="0"/>
          <c:tx>
            <c:strRef>
              <c:f>Pivots!$AC$2</c:f>
              <c:strCache>
                <c:ptCount val="1"/>
                <c:pt idx="0">
                  <c:v>30-Year Mortgage Rate</c:v>
                </c:pt>
              </c:strCache>
            </c:strRef>
          </c:tx>
          <c:spPr>
            <a:solidFill>
              <a:schemeClr val="accent1"/>
            </a:solidFill>
            <a:ln>
              <a:noFill/>
            </a:ln>
            <a:effectLst/>
          </c:spPr>
          <c:invertIfNegative val="0"/>
          <c:cat>
            <c:strRef>
              <c:f>Pivots!$AB$3:$AB$13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Pivots!$AC$3:$AC$13</c:f>
              <c:numCache>
                <c:formatCode>General</c:formatCode>
                <c:ptCount val="10"/>
                <c:pt idx="0">
                  <c:v>3.85</c:v>
                </c:pt>
                <c:pt idx="1">
                  <c:v>3.65</c:v>
                </c:pt>
                <c:pt idx="2">
                  <c:v>3.99</c:v>
                </c:pt>
                <c:pt idx="3">
                  <c:v>4.54</c:v>
                </c:pt>
                <c:pt idx="4">
                  <c:v>3.94</c:v>
                </c:pt>
                <c:pt idx="5">
                  <c:v>3.11</c:v>
                </c:pt>
                <c:pt idx="6">
                  <c:v>2.96</c:v>
                </c:pt>
                <c:pt idx="7">
                  <c:v>5.34</c:v>
                </c:pt>
                <c:pt idx="8">
                  <c:v>6.81</c:v>
                </c:pt>
                <c:pt idx="9">
                  <c:v>6.72</c:v>
                </c:pt>
              </c:numCache>
            </c:numRef>
          </c:val>
          <c:extLst>
            <c:ext xmlns:c16="http://schemas.microsoft.com/office/drawing/2014/chart" uri="{C3380CC4-5D6E-409C-BE32-E72D297353CC}">
              <c16:uniqueId val="{00000000-3A66-427D-AB4C-7057B9BB70D0}"/>
            </c:ext>
          </c:extLst>
        </c:ser>
        <c:dLbls>
          <c:showLegendKey val="0"/>
          <c:showVal val="0"/>
          <c:showCatName val="0"/>
          <c:showSerName val="0"/>
          <c:showPercent val="0"/>
          <c:showBubbleSize val="0"/>
        </c:dLbls>
        <c:gapWidth val="219"/>
        <c:overlap val="-27"/>
        <c:axId val="207393872"/>
        <c:axId val="207400592"/>
      </c:barChart>
      <c:lineChart>
        <c:grouping val="standard"/>
        <c:varyColors val="0"/>
        <c:ser>
          <c:idx val="1"/>
          <c:order val="1"/>
          <c:tx>
            <c:strRef>
              <c:f>Pivots!$AD$2</c:f>
              <c:strCache>
                <c:ptCount val="1"/>
                <c:pt idx="0">
                  <c:v>Arizona House Price Index</c:v>
                </c:pt>
              </c:strCache>
            </c:strRef>
          </c:tx>
          <c:spPr>
            <a:ln w="28575" cap="rnd">
              <a:solidFill>
                <a:schemeClr val="accent2"/>
              </a:solidFill>
              <a:round/>
            </a:ln>
            <a:effectLst/>
          </c:spPr>
          <c:marker>
            <c:symbol val="none"/>
          </c:marker>
          <c:cat>
            <c:strRef>
              <c:f>Pivots!$AB$3:$AB$13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Pivots!$AD$3:$AD$13</c:f>
              <c:numCache>
                <c:formatCode>General</c:formatCode>
                <c:ptCount val="10"/>
                <c:pt idx="0">
                  <c:v>319.31</c:v>
                </c:pt>
                <c:pt idx="1">
                  <c:v>340.79</c:v>
                </c:pt>
                <c:pt idx="2">
                  <c:v>366.35</c:v>
                </c:pt>
                <c:pt idx="3">
                  <c:v>395.24</c:v>
                </c:pt>
                <c:pt idx="4">
                  <c:v>421.55</c:v>
                </c:pt>
                <c:pt idx="5">
                  <c:v>456.22</c:v>
                </c:pt>
                <c:pt idx="6">
                  <c:v>556.32000000000005</c:v>
                </c:pt>
                <c:pt idx="7">
                  <c:v>673.16</c:v>
                </c:pt>
                <c:pt idx="8">
                  <c:v>680.75</c:v>
                </c:pt>
                <c:pt idx="9">
                  <c:v>710.2</c:v>
                </c:pt>
              </c:numCache>
            </c:numRef>
          </c:val>
          <c:smooth val="0"/>
          <c:extLst>
            <c:ext xmlns:c16="http://schemas.microsoft.com/office/drawing/2014/chart" uri="{C3380CC4-5D6E-409C-BE32-E72D297353CC}">
              <c16:uniqueId val="{00000001-3A66-427D-AB4C-7057B9BB70D0}"/>
            </c:ext>
          </c:extLst>
        </c:ser>
        <c:dLbls>
          <c:showLegendKey val="0"/>
          <c:showVal val="0"/>
          <c:showCatName val="0"/>
          <c:showSerName val="0"/>
          <c:showPercent val="0"/>
          <c:showBubbleSize val="0"/>
        </c:dLbls>
        <c:marker val="1"/>
        <c:smooth val="0"/>
        <c:axId val="400602592"/>
        <c:axId val="400589632"/>
      </c:lineChart>
      <c:catAx>
        <c:axId val="40060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89632"/>
        <c:crosses val="autoZero"/>
        <c:auto val="1"/>
        <c:lblAlgn val="ctr"/>
        <c:lblOffset val="100"/>
        <c:noMultiLvlLbl val="0"/>
      </c:catAx>
      <c:valAx>
        <c:axId val="40058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Arizona House Price Index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02592"/>
        <c:crosses val="autoZero"/>
        <c:crossBetween val="between"/>
      </c:valAx>
      <c:valAx>
        <c:axId val="2074005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30-Year Mortgage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3872"/>
        <c:crosses val="max"/>
        <c:crossBetween val="between"/>
      </c:valAx>
      <c:catAx>
        <c:axId val="207393872"/>
        <c:scaling>
          <c:orientation val="minMax"/>
        </c:scaling>
        <c:delete val="1"/>
        <c:axPos val="b"/>
        <c:numFmt formatCode="General" sourceLinked="1"/>
        <c:majorTickMark val="out"/>
        <c:minorTickMark val="none"/>
        <c:tickLblPos val="nextTo"/>
        <c:crossAx val="207400592"/>
        <c:crosses val="autoZero"/>
        <c:auto val="1"/>
        <c:lblAlgn val="ctr"/>
        <c:lblOffset val="100"/>
        <c:noMultiLvlLbl val="0"/>
      </c:catAx>
      <c:spPr>
        <a:noFill/>
        <a:ln>
          <a:noFill/>
        </a:ln>
        <a:effectLst/>
      </c:spPr>
    </c:plotArea>
    <c:legend>
      <c:legendPos val="r"/>
      <c:layout>
        <c:manualLayout>
          <c:xMode val="edge"/>
          <c:yMode val="edge"/>
          <c:x val="8.2740607078056944E-2"/>
          <c:y val="0.25392551978892808"/>
          <c:w val="0.39317448287655832"/>
          <c:h val="0.11746260395076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Arizona Household</a:t>
            </a:r>
            <a:r>
              <a:rPr lang="en-US" sz="1200" b="1" baseline="0">
                <a:solidFill>
                  <a:schemeClr val="bg1"/>
                </a:solidFill>
              </a:rPr>
              <a:t> Income vs Home Value</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8216195197823"/>
          <c:y val="0.12179388702595363"/>
          <c:w val="0.87746864975211436"/>
          <c:h val="0.75146666800982687"/>
        </c:manualLayout>
      </c:layout>
      <c:lineChart>
        <c:grouping val="standard"/>
        <c:varyColors val="0"/>
        <c:ser>
          <c:idx val="0"/>
          <c:order val="0"/>
          <c:tx>
            <c:strRef>
              <c:f>Pivots!$C$3</c:f>
              <c:strCache>
                <c:ptCount val="1"/>
                <c:pt idx="0">
                  <c:v>Median Household Income</c:v>
                </c:pt>
              </c:strCache>
            </c:strRef>
          </c:tx>
          <c:spPr>
            <a:ln w="28575" cap="rnd">
              <a:solidFill>
                <a:schemeClr val="accent4">
                  <a:lumMod val="50000"/>
                </a:schemeClr>
              </a:solidFill>
              <a:round/>
            </a:ln>
            <a:effectLst/>
          </c:spPr>
          <c:marker>
            <c:symbol val="none"/>
          </c:marker>
          <c:cat>
            <c:strRef>
              <c:f>Pivots!$B$4:$B$14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Pivots!$C$4:$C$14</c:f>
              <c:numCache>
                <c:formatCode>General</c:formatCode>
                <c:ptCount val="10"/>
                <c:pt idx="0">
                  <c:v>40743</c:v>
                </c:pt>
                <c:pt idx="1">
                  <c:v>41467</c:v>
                </c:pt>
                <c:pt idx="2">
                  <c:v>43253</c:v>
                </c:pt>
                <c:pt idx="3">
                  <c:v>44058</c:v>
                </c:pt>
                <c:pt idx="4">
                  <c:v>45243</c:v>
                </c:pt>
                <c:pt idx="5">
                  <c:v>48790</c:v>
                </c:pt>
                <c:pt idx="6">
                  <c:v>52563</c:v>
                </c:pt>
                <c:pt idx="7">
                  <c:v>56439</c:v>
                </c:pt>
                <c:pt idx="8">
                  <c:v>60417</c:v>
                </c:pt>
                <c:pt idx="9">
                  <c:v>62876</c:v>
                </c:pt>
              </c:numCache>
            </c:numRef>
          </c:val>
          <c:smooth val="0"/>
          <c:extLst>
            <c:ext xmlns:c16="http://schemas.microsoft.com/office/drawing/2014/chart" uri="{C3380CC4-5D6E-409C-BE32-E72D297353CC}">
              <c16:uniqueId val="{00000000-40C9-4970-A316-E49500ABA32E}"/>
            </c:ext>
          </c:extLst>
        </c:ser>
        <c:ser>
          <c:idx val="1"/>
          <c:order val="1"/>
          <c:tx>
            <c:strRef>
              <c:f>Pivots!$D$3</c:f>
              <c:strCache>
                <c:ptCount val="1"/>
                <c:pt idx="0">
                  <c:v>Median Home Value</c:v>
                </c:pt>
              </c:strCache>
            </c:strRef>
          </c:tx>
          <c:spPr>
            <a:ln w="28575" cap="rnd">
              <a:solidFill>
                <a:schemeClr val="accent2"/>
              </a:solidFill>
              <a:round/>
            </a:ln>
            <a:effectLst/>
          </c:spPr>
          <c:marker>
            <c:symbol val="none"/>
          </c:marker>
          <c:cat>
            <c:strRef>
              <c:f>Pivots!$B$4:$B$14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Pivots!$D$4:$D$14</c:f>
              <c:numCache>
                <c:formatCode>General</c:formatCode>
                <c:ptCount val="10"/>
                <c:pt idx="0">
                  <c:v>112100</c:v>
                </c:pt>
                <c:pt idx="1">
                  <c:v>113400</c:v>
                </c:pt>
                <c:pt idx="2">
                  <c:v>117000</c:v>
                </c:pt>
                <c:pt idx="3">
                  <c:v>122000</c:v>
                </c:pt>
                <c:pt idx="4">
                  <c:v>127900</c:v>
                </c:pt>
                <c:pt idx="5">
                  <c:v>139200</c:v>
                </c:pt>
                <c:pt idx="6">
                  <c:v>148900</c:v>
                </c:pt>
                <c:pt idx="7">
                  <c:v>173500</c:v>
                </c:pt>
                <c:pt idx="8">
                  <c:v>195700</c:v>
                </c:pt>
                <c:pt idx="9">
                  <c:v>217800</c:v>
                </c:pt>
              </c:numCache>
            </c:numRef>
          </c:val>
          <c:smooth val="0"/>
          <c:extLst>
            <c:ext xmlns:c16="http://schemas.microsoft.com/office/drawing/2014/chart" uri="{C3380CC4-5D6E-409C-BE32-E72D297353CC}">
              <c16:uniqueId val="{00000001-40C9-4970-A316-E49500ABA32E}"/>
            </c:ext>
          </c:extLst>
        </c:ser>
        <c:dLbls>
          <c:showLegendKey val="0"/>
          <c:showVal val="0"/>
          <c:showCatName val="0"/>
          <c:showSerName val="0"/>
          <c:showPercent val="0"/>
          <c:showBubbleSize val="0"/>
        </c:dLbls>
        <c:smooth val="0"/>
        <c:axId val="471212431"/>
        <c:axId val="471215311"/>
      </c:lineChart>
      <c:catAx>
        <c:axId val="4712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71215311"/>
        <c:crosses val="autoZero"/>
        <c:auto val="1"/>
        <c:lblAlgn val="ctr"/>
        <c:lblOffset val="100"/>
        <c:noMultiLvlLbl val="0"/>
      </c:catAx>
      <c:valAx>
        <c:axId val="471215311"/>
        <c:scaling>
          <c:orientation val="minMax"/>
          <c:max val="300000"/>
          <c:min val="30000"/>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71212431"/>
        <c:crosses val="autoZero"/>
        <c:crossBetween val="between"/>
      </c:valAx>
      <c:spPr>
        <a:noFill/>
        <a:ln>
          <a:noFill/>
        </a:ln>
        <a:effectLst/>
      </c:spPr>
    </c:plotArea>
    <c:legend>
      <c:legendPos val="r"/>
      <c:layout>
        <c:manualLayout>
          <c:xMode val="edge"/>
          <c:yMode val="edge"/>
          <c:x val="0.14956406816335457"/>
          <c:y val="0.15207793514628565"/>
          <c:w val="0.43843197725284339"/>
          <c:h val="0.1050227476776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bg1"/>
                </a:solidFill>
              </a:rPr>
              <a:t>Home Value-to-Income Ratio by County (2024)</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79046369203851"/>
          <c:y val="0.1116190898672877"/>
          <c:w val="0.73767694663167105"/>
          <c:h val="0.78135196480721603"/>
        </c:manualLayout>
      </c:layout>
      <c:barChart>
        <c:barDir val="bar"/>
        <c:grouping val="clustered"/>
        <c:varyColors val="0"/>
        <c:ser>
          <c:idx val="0"/>
          <c:order val="0"/>
          <c:tx>
            <c:strRef>
              <c:f>Pivots!$N$5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Pivots!$M$6:$M$21</c:f>
              <c:strCache>
                <c:ptCount val="15"/>
                <c:pt idx="0">
                  <c:v>Apache County</c:v>
                </c:pt>
                <c:pt idx="1">
                  <c:v>Greenlee County</c:v>
                </c:pt>
                <c:pt idx="2">
                  <c:v>La Paz County</c:v>
                </c:pt>
                <c:pt idx="3">
                  <c:v>Graham County</c:v>
                </c:pt>
                <c:pt idx="4">
                  <c:v>Yuma County</c:v>
                </c:pt>
                <c:pt idx="5">
                  <c:v>Cochise County</c:v>
                </c:pt>
                <c:pt idx="6">
                  <c:v>Navajo County</c:v>
                </c:pt>
                <c:pt idx="7">
                  <c:v>Santa Cruz County</c:v>
                </c:pt>
                <c:pt idx="8">
                  <c:v>Gila County</c:v>
                </c:pt>
                <c:pt idx="9">
                  <c:v>Pinal County</c:v>
                </c:pt>
                <c:pt idx="10">
                  <c:v>Pima County</c:v>
                </c:pt>
                <c:pt idx="11">
                  <c:v>Mohave County</c:v>
                </c:pt>
                <c:pt idx="12">
                  <c:v>Maricopa County</c:v>
                </c:pt>
                <c:pt idx="13">
                  <c:v>Yavapai County</c:v>
                </c:pt>
                <c:pt idx="14">
                  <c:v>Coconino County</c:v>
                </c:pt>
              </c:strCache>
            </c:strRef>
          </c:cat>
          <c:val>
            <c:numRef>
              <c:f>Pivots!$N$6:$N$21</c:f>
              <c:numCache>
                <c:formatCode>General</c:formatCode>
                <c:ptCount val="15"/>
                <c:pt idx="0">
                  <c:v>1.54</c:v>
                </c:pt>
                <c:pt idx="1">
                  <c:v>2.23</c:v>
                </c:pt>
                <c:pt idx="2">
                  <c:v>2.74</c:v>
                </c:pt>
                <c:pt idx="3">
                  <c:v>3.15</c:v>
                </c:pt>
                <c:pt idx="4">
                  <c:v>3.46</c:v>
                </c:pt>
                <c:pt idx="5">
                  <c:v>3.65</c:v>
                </c:pt>
                <c:pt idx="6">
                  <c:v>3.69</c:v>
                </c:pt>
                <c:pt idx="7">
                  <c:v>4.22</c:v>
                </c:pt>
                <c:pt idx="8">
                  <c:v>4.3499999999999996</c:v>
                </c:pt>
                <c:pt idx="9">
                  <c:v>4.3499999999999996</c:v>
                </c:pt>
                <c:pt idx="10">
                  <c:v>4.55</c:v>
                </c:pt>
                <c:pt idx="11">
                  <c:v>4.87</c:v>
                </c:pt>
                <c:pt idx="12">
                  <c:v>5.07</c:v>
                </c:pt>
                <c:pt idx="13">
                  <c:v>6.11</c:v>
                </c:pt>
                <c:pt idx="14">
                  <c:v>6.14</c:v>
                </c:pt>
              </c:numCache>
            </c:numRef>
          </c:val>
          <c:extLst>
            <c:ext xmlns:c16="http://schemas.microsoft.com/office/drawing/2014/chart" uri="{C3380CC4-5D6E-409C-BE32-E72D297353CC}">
              <c16:uniqueId val="{00000000-B851-4FDD-89DA-722183CA5455}"/>
            </c:ext>
          </c:extLst>
        </c:ser>
        <c:dLbls>
          <c:dLblPos val="outEnd"/>
          <c:showLegendKey val="0"/>
          <c:showVal val="1"/>
          <c:showCatName val="0"/>
          <c:showSerName val="0"/>
          <c:showPercent val="0"/>
          <c:showBubbleSize val="0"/>
        </c:dLbls>
        <c:gapWidth val="18"/>
        <c:axId val="406144400"/>
        <c:axId val="406154960"/>
      </c:barChart>
      <c:catAx>
        <c:axId val="406144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406154960"/>
        <c:crosses val="autoZero"/>
        <c:auto val="1"/>
        <c:lblAlgn val="ctr"/>
        <c:lblOffset val="100"/>
        <c:noMultiLvlLbl val="0"/>
      </c:catAx>
      <c:valAx>
        <c:axId val="406154960"/>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614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Population Growth vs. Home Value Growth (2015–2024)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Pivots!$V$3</c:f>
              <c:strCache>
                <c:ptCount val="1"/>
                <c:pt idx="0">
                  <c:v>Home Value</c:v>
                </c:pt>
              </c:strCache>
            </c:strRef>
          </c:tx>
          <c:spPr>
            <a:ln w="38100" cap="rnd">
              <a:noFill/>
              <a:round/>
            </a:ln>
            <a:effectLst/>
          </c:spPr>
          <c:marker>
            <c:symbol val="circle"/>
            <c:size val="5"/>
            <c:spPr>
              <a:solidFill>
                <a:schemeClr val="accent2"/>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og"/>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Pivots!$U$4:$U$19</c:f>
              <c:numCache>
                <c:formatCode>General</c:formatCode>
                <c:ptCount val="16"/>
                <c:pt idx="0">
                  <c:v>-9.4046364594309803E-2</c:v>
                </c:pt>
                <c:pt idx="1">
                  <c:v>-3.1477781977215055E-2</c:v>
                </c:pt>
                <c:pt idx="2">
                  <c:v>5.7110043086736749E-2</c:v>
                </c:pt>
                <c:pt idx="3">
                  <c:v>1.1849901250822911E-2</c:v>
                </c:pt>
                <c:pt idx="4">
                  <c:v>4.8787660063624456E-2</c:v>
                </c:pt>
                <c:pt idx="5">
                  <c:v>4.2779563338135873E-2</c:v>
                </c:pt>
                <c:pt idx="6">
                  <c:v>-0.18052618637816573</c:v>
                </c:pt>
                <c:pt idx="7">
                  <c:v>0.13478987681623078</c:v>
                </c:pt>
                <c:pt idx="8">
                  <c:v>8.435695951062637E-2</c:v>
                </c:pt>
                <c:pt idx="9">
                  <c:v>7.0502340789180351E-3</c:v>
                </c:pt>
                <c:pt idx="10">
                  <c:v>6.2043770035562031E-2</c:v>
                </c:pt>
                <c:pt idx="11">
                  <c:v>0.20328294490112167</c:v>
                </c:pt>
                <c:pt idx="12">
                  <c:v>3.9364391477067537E-2</c:v>
                </c:pt>
                <c:pt idx="13">
                  <c:v>0.13650252782458935</c:v>
                </c:pt>
                <c:pt idx="14">
                  <c:v>4.3125914467428951E-2</c:v>
                </c:pt>
                <c:pt idx="15">
                  <c:v>0.11094820660507004</c:v>
                </c:pt>
              </c:numCache>
            </c:numRef>
          </c:xVal>
          <c:yVal>
            <c:numRef>
              <c:f>Pivots!$V$4:$V$19</c:f>
              <c:numCache>
                <c:formatCode>General</c:formatCode>
                <c:ptCount val="16"/>
                <c:pt idx="0">
                  <c:v>-0.23529411764705882</c:v>
                </c:pt>
                <c:pt idx="1">
                  <c:v>0.51702571230020844</c:v>
                </c:pt>
                <c:pt idx="2">
                  <c:v>1.0428636570907432</c:v>
                </c:pt>
                <c:pt idx="3">
                  <c:v>1.007451564828614</c:v>
                </c:pt>
                <c:pt idx="4">
                  <c:v>0.71938361719383614</c:v>
                </c:pt>
                <c:pt idx="5">
                  <c:v>0.91777509068923824</c:v>
                </c:pt>
                <c:pt idx="6">
                  <c:v>0.9652677279305355</c:v>
                </c:pt>
                <c:pt idx="7">
                  <c:v>1.4200962052378407</c:v>
                </c:pt>
                <c:pt idx="8">
                  <c:v>1.2808441558441559</c:v>
                </c:pt>
                <c:pt idx="9">
                  <c:v>0.93007662835249039</c:v>
                </c:pt>
                <c:pt idx="10">
                  <c:v>0.99937460913070664</c:v>
                </c:pt>
                <c:pt idx="11">
                  <c:v>1.7117327117327117</c:v>
                </c:pt>
                <c:pt idx="12">
                  <c:v>0.7007299270072993</c:v>
                </c:pt>
                <c:pt idx="13">
                  <c:v>1.2592986184909671</c:v>
                </c:pt>
                <c:pt idx="14">
                  <c:v>0.94290811775200711</c:v>
                </c:pt>
                <c:pt idx="15">
                  <c:v>0.99649368863955101</c:v>
                </c:pt>
              </c:numCache>
            </c:numRef>
          </c:yVal>
          <c:smooth val="0"/>
          <c:extLst>
            <c:ext xmlns:c16="http://schemas.microsoft.com/office/drawing/2014/chart" uri="{C3380CC4-5D6E-409C-BE32-E72D297353CC}">
              <c16:uniqueId val="{00000000-93F7-4215-9AFD-9CE7BEEA6C2F}"/>
            </c:ext>
          </c:extLst>
        </c:ser>
        <c:dLbls>
          <c:showLegendKey val="0"/>
          <c:showVal val="0"/>
          <c:showCatName val="0"/>
          <c:showSerName val="0"/>
          <c:showPercent val="0"/>
          <c:showBubbleSize val="0"/>
        </c:dLbls>
        <c:axId val="406166000"/>
        <c:axId val="406150160"/>
      </c:scatterChart>
      <c:valAx>
        <c:axId val="406166000"/>
        <c:scaling>
          <c:orientation val="minMax"/>
          <c:max val="0.25"/>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Population Growth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6150160"/>
        <c:crosses val="autoZero"/>
        <c:crossBetween val="midCat"/>
      </c:valAx>
      <c:valAx>
        <c:axId val="40615016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Home Value</a:t>
                </a:r>
                <a:r>
                  <a:rPr lang="en-US" b="1" baseline="0">
                    <a:solidFill>
                      <a:schemeClr val="bg1"/>
                    </a:solidFill>
                  </a:rPr>
                  <a:t> Growth  %</a:t>
                </a:r>
                <a:endParaRPr lang="en-US"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6166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[Arizona_Housing_Affordability_Dashboard.xlsx]Pivots!PivotTable6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bg1"/>
                </a:solidFill>
              </a:rPr>
              <a:t>Arizona House Prices vs. Mortgage Rates (2015–2024)</a:t>
            </a:r>
            <a:endParaRPr lang="en-US" sz="11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3273423074452"/>
          <c:y val="0.16652726954283675"/>
          <c:w val="0.74462528588776933"/>
          <c:h val="0.71417298792817785"/>
        </c:manualLayout>
      </c:layout>
      <c:barChart>
        <c:barDir val="col"/>
        <c:grouping val="clustered"/>
        <c:varyColors val="0"/>
        <c:ser>
          <c:idx val="0"/>
          <c:order val="0"/>
          <c:tx>
            <c:strRef>
              <c:f>Pivots!$AC$2</c:f>
              <c:strCache>
                <c:ptCount val="1"/>
                <c:pt idx="0">
                  <c:v>30-Year Mortgage Rate</c:v>
                </c:pt>
              </c:strCache>
            </c:strRef>
          </c:tx>
          <c:spPr>
            <a:solidFill>
              <a:schemeClr val="accent1"/>
            </a:solidFill>
            <a:ln>
              <a:noFill/>
            </a:ln>
            <a:effectLst/>
          </c:spPr>
          <c:invertIfNegative val="0"/>
          <c:cat>
            <c:strRef>
              <c:f>Pivots!$AB$3:$AB$13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Pivots!$AC$3:$AC$13</c:f>
              <c:numCache>
                <c:formatCode>General</c:formatCode>
                <c:ptCount val="10"/>
                <c:pt idx="0">
                  <c:v>3.85</c:v>
                </c:pt>
                <c:pt idx="1">
                  <c:v>3.65</c:v>
                </c:pt>
                <c:pt idx="2">
                  <c:v>3.99</c:v>
                </c:pt>
                <c:pt idx="3">
                  <c:v>4.54</c:v>
                </c:pt>
                <c:pt idx="4">
                  <c:v>3.94</c:v>
                </c:pt>
                <c:pt idx="5">
                  <c:v>3.11</c:v>
                </c:pt>
                <c:pt idx="6">
                  <c:v>2.96</c:v>
                </c:pt>
                <c:pt idx="7">
                  <c:v>5.34</c:v>
                </c:pt>
                <c:pt idx="8">
                  <c:v>6.81</c:v>
                </c:pt>
                <c:pt idx="9">
                  <c:v>6.72</c:v>
                </c:pt>
              </c:numCache>
            </c:numRef>
          </c:val>
          <c:extLst>
            <c:ext xmlns:c16="http://schemas.microsoft.com/office/drawing/2014/chart" uri="{C3380CC4-5D6E-409C-BE32-E72D297353CC}">
              <c16:uniqueId val="{00000000-5140-4BB0-A750-5CC892687388}"/>
            </c:ext>
          </c:extLst>
        </c:ser>
        <c:dLbls>
          <c:showLegendKey val="0"/>
          <c:showVal val="0"/>
          <c:showCatName val="0"/>
          <c:showSerName val="0"/>
          <c:showPercent val="0"/>
          <c:showBubbleSize val="0"/>
        </c:dLbls>
        <c:gapWidth val="219"/>
        <c:overlap val="-27"/>
        <c:axId val="207393872"/>
        <c:axId val="207400592"/>
      </c:barChart>
      <c:lineChart>
        <c:grouping val="standard"/>
        <c:varyColors val="0"/>
        <c:ser>
          <c:idx val="1"/>
          <c:order val="1"/>
          <c:tx>
            <c:strRef>
              <c:f>Pivots!$AD$2</c:f>
              <c:strCache>
                <c:ptCount val="1"/>
                <c:pt idx="0">
                  <c:v>Arizona House Price Index</c:v>
                </c:pt>
              </c:strCache>
            </c:strRef>
          </c:tx>
          <c:spPr>
            <a:ln w="28575" cap="rnd">
              <a:solidFill>
                <a:schemeClr val="accent2"/>
              </a:solidFill>
              <a:round/>
            </a:ln>
            <a:effectLst/>
          </c:spPr>
          <c:marker>
            <c:symbol val="none"/>
          </c:marker>
          <c:cat>
            <c:strRef>
              <c:f>Pivots!$AB$3:$AB$13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Pivots!$AD$3:$AD$13</c:f>
              <c:numCache>
                <c:formatCode>General</c:formatCode>
                <c:ptCount val="10"/>
                <c:pt idx="0">
                  <c:v>319.31</c:v>
                </c:pt>
                <c:pt idx="1">
                  <c:v>340.79</c:v>
                </c:pt>
                <c:pt idx="2">
                  <c:v>366.35</c:v>
                </c:pt>
                <c:pt idx="3">
                  <c:v>395.24</c:v>
                </c:pt>
                <c:pt idx="4">
                  <c:v>421.55</c:v>
                </c:pt>
                <c:pt idx="5">
                  <c:v>456.22</c:v>
                </c:pt>
                <c:pt idx="6">
                  <c:v>556.32000000000005</c:v>
                </c:pt>
                <c:pt idx="7">
                  <c:v>673.16</c:v>
                </c:pt>
                <c:pt idx="8">
                  <c:v>680.75</c:v>
                </c:pt>
                <c:pt idx="9">
                  <c:v>710.2</c:v>
                </c:pt>
              </c:numCache>
            </c:numRef>
          </c:val>
          <c:smooth val="0"/>
          <c:extLst>
            <c:ext xmlns:c16="http://schemas.microsoft.com/office/drawing/2014/chart" uri="{C3380CC4-5D6E-409C-BE32-E72D297353CC}">
              <c16:uniqueId val="{00000001-5140-4BB0-A750-5CC892687388}"/>
            </c:ext>
          </c:extLst>
        </c:ser>
        <c:dLbls>
          <c:showLegendKey val="0"/>
          <c:showVal val="0"/>
          <c:showCatName val="0"/>
          <c:showSerName val="0"/>
          <c:showPercent val="0"/>
          <c:showBubbleSize val="0"/>
        </c:dLbls>
        <c:marker val="1"/>
        <c:smooth val="0"/>
        <c:axId val="400602592"/>
        <c:axId val="400589632"/>
      </c:lineChart>
      <c:catAx>
        <c:axId val="4006025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sz="1000" b="1" i="0" u="none" strike="noStrike" baseline="0">
                    <a:solidFill>
                      <a:schemeClr val="bg1"/>
                    </a:solidFill>
                  </a:rPr>
                  <a:t>Year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0589632"/>
        <c:crosses val="autoZero"/>
        <c:auto val="1"/>
        <c:lblAlgn val="ctr"/>
        <c:lblOffset val="100"/>
        <c:noMultiLvlLbl val="0"/>
      </c:catAx>
      <c:valAx>
        <c:axId val="40058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solidFill>
                      <a:schemeClr val="bg1"/>
                    </a:solidFill>
                  </a:rPr>
                  <a:t>Arizona House Price Index</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0602592"/>
        <c:crosses val="autoZero"/>
        <c:crossBetween val="between"/>
      </c:valAx>
      <c:valAx>
        <c:axId val="2074005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00" b="0" i="0" u="none" strike="noStrike" baseline="0">
                    <a:solidFill>
                      <a:schemeClr val="bg1"/>
                    </a:solidFill>
                  </a:rPr>
                  <a:t>30-Year Mortgage Rate</a:t>
                </a: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393872"/>
        <c:crosses val="max"/>
        <c:crossBetween val="between"/>
      </c:valAx>
      <c:catAx>
        <c:axId val="207393872"/>
        <c:scaling>
          <c:orientation val="minMax"/>
        </c:scaling>
        <c:delete val="1"/>
        <c:axPos val="b"/>
        <c:numFmt formatCode="General" sourceLinked="1"/>
        <c:majorTickMark val="out"/>
        <c:minorTickMark val="none"/>
        <c:tickLblPos val="nextTo"/>
        <c:crossAx val="207400592"/>
        <c:crosses val="autoZero"/>
        <c:auto val="1"/>
        <c:lblAlgn val="ctr"/>
        <c:lblOffset val="100"/>
        <c:noMultiLvlLbl val="0"/>
      </c:catAx>
      <c:spPr>
        <a:noFill/>
        <a:ln>
          <a:noFill/>
        </a:ln>
        <a:effectLst/>
      </c:spPr>
    </c:plotArea>
    <c:legend>
      <c:legendPos val="r"/>
      <c:layout>
        <c:manualLayout>
          <c:xMode val="edge"/>
          <c:yMode val="edge"/>
          <c:x val="0.16334579271341082"/>
          <c:y val="0.17849061798585084"/>
          <c:w val="0.39317448287655832"/>
          <c:h val="0.11746260395076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2</xdr:row>
      <xdr:rowOff>19050</xdr:rowOff>
    </xdr:from>
    <xdr:to>
      <xdr:col>7</xdr:col>
      <xdr:colOff>552450</xdr:colOff>
      <xdr:row>17</xdr:row>
      <xdr:rowOff>95250</xdr:rowOff>
    </xdr:to>
    <mc:AlternateContent xmlns:mc="http://schemas.openxmlformats.org/markup-compatibility/2006" xmlns:a14="http://schemas.microsoft.com/office/drawing/2010/main">
      <mc:Choice Requires="a14">
        <xdr:graphicFrame macro="">
          <xdr:nvGraphicFramePr>
            <xdr:cNvPr id="2" name="County">
              <a:extLst>
                <a:ext uri="{FF2B5EF4-FFF2-40B4-BE49-F238E27FC236}">
                  <a16:creationId xmlns:a16="http://schemas.microsoft.com/office/drawing/2014/main" id="{8DBE12B0-E2A9-0E82-0DF3-18B775E65782}"/>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4962525" y="447675"/>
              <a:ext cx="1935956" cy="293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xdr:colOff>
      <xdr:row>16</xdr:row>
      <xdr:rowOff>171450</xdr:rowOff>
    </xdr:from>
    <xdr:to>
      <xdr:col>4</xdr:col>
      <xdr:colOff>133350</xdr:colOff>
      <xdr:row>31</xdr:row>
      <xdr:rowOff>171450</xdr:rowOff>
    </xdr:to>
    <xdr:graphicFrame macro="">
      <xdr:nvGraphicFramePr>
        <xdr:cNvPr id="3" name="Chart 2">
          <a:extLst>
            <a:ext uri="{FF2B5EF4-FFF2-40B4-BE49-F238E27FC236}">
              <a16:creationId xmlns:a16="http://schemas.microsoft.com/office/drawing/2014/main" id="{3545DF8D-21DA-62BE-0EFE-067D0C3B4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xdr:colOff>
      <xdr:row>5</xdr:row>
      <xdr:rowOff>157162</xdr:rowOff>
    </xdr:from>
    <xdr:to>
      <xdr:col>11</xdr:col>
      <xdr:colOff>581025</xdr:colOff>
      <xdr:row>20</xdr:row>
      <xdr:rowOff>42862</xdr:rowOff>
    </xdr:to>
    <xdr:graphicFrame macro="">
      <xdr:nvGraphicFramePr>
        <xdr:cNvPr id="4" name="Chart 3">
          <a:extLst>
            <a:ext uri="{FF2B5EF4-FFF2-40B4-BE49-F238E27FC236}">
              <a16:creationId xmlns:a16="http://schemas.microsoft.com/office/drawing/2014/main" id="{A6311CB4-AA91-6CF3-A415-D9BAB106B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371476</xdr:colOff>
      <xdr:row>22</xdr:row>
      <xdr:rowOff>28575</xdr:rowOff>
    </xdr:from>
    <xdr:to>
      <xdr:col>14</xdr:col>
      <xdr:colOff>52387</xdr:colOff>
      <xdr:row>39</xdr:row>
      <xdr:rowOff>171450</xdr:rowOff>
    </xdr:to>
    <xdr:graphicFrame macro="">
      <xdr:nvGraphicFramePr>
        <xdr:cNvPr id="5" name="Chart 4">
          <a:extLst>
            <a:ext uri="{FF2B5EF4-FFF2-40B4-BE49-F238E27FC236}">
              <a16:creationId xmlns:a16="http://schemas.microsoft.com/office/drawing/2014/main" id="{41128D0F-81BF-B408-567A-E309BBFEA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857250</xdr:colOff>
      <xdr:row>22</xdr:row>
      <xdr:rowOff>119062</xdr:rowOff>
    </xdr:from>
    <xdr:to>
      <xdr:col>25</xdr:col>
      <xdr:colOff>333374</xdr:colOff>
      <xdr:row>39</xdr:row>
      <xdr:rowOff>47623</xdr:rowOff>
    </xdr:to>
    <xdr:graphicFrame macro="">
      <xdr:nvGraphicFramePr>
        <xdr:cNvPr id="6" name="Chart 5">
          <a:extLst>
            <a:ext uri="{FF2B5EF4-FFF2-40B4-BE49-F238E27FC236}">
              <a16:creationId xmlns:a16="http://schemas.microsoft.com/office/drawing/2014/main" id="{C20BD6F6-CBCC-A995-580A-3C6603A97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476248</xdr:colOff>
      <xdr:row>16</xdr:row>
      <xdr:rowOff>75009</xdr:rowOff>
    </xdr:from>
    <xdr:to>
      <xdr:col>30</xdr:col>
      <xdr:colOff>238124</xdr:colOff>
      <xdr:row>38</xdr:row>
      <xdr:rowOff>154781</xdr:rowOff>
    </xdr:to>
    <xdr:graphicFrame macro="">
      <xdr:nvGraphicFramePr>
        <xdr:cNvPr id="8" name="Chart 7">
          <a:extLst>
            <a:ext uri="{FF2B5EF4-FFF2-40B4-BE49-F238E27FC236}">
              <a16:creationId xmlns:a16="http://schemas.microsoft.com/office/drawing/2014/main" id="{8656B20C-C107-4518-5B3A-6073475D6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6</xdr:row>
      <xdr:rowOff>171450</xdr:rowOff>
    </xdr:from>
    <xdr:to>
      <xdr:col>7</xdr:col>
      <xdr:colOff>248412</xdr:colOff>
      <xdr:row>21</xdr:row>
      <xdr:rowOff>176022</xdr:rowOff>
    </xdr:to>
    <xdr:graphicFrame macro="">
      <xdr:nvGraphicFramePr>
        <xdr:cNvPr id="3" name="Chart 2">
          <a:extLst>
            <a:ext uri="{FF2B5EF4-FFF2-40B4-BE49-F238E27FC236}">
              <a16:creationId xmlns:a16="http://schemas.microsoft.com/office/drawing/2014/main" id="{9F01538F-6FD1-490C-8855-DEE3BD23F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371474</xdr:colOff>
      <xdr:row>6</xdr:row>
      <xdr:rowOff>180975</xdr:rowOff>
    </xdr:from>
    <xdr:to>
      <xdr:col>14</xdr:col>
      <xdr:colOff>200786</xdr:colOff>
      <xdr:row>21</xdr:row>
      <xdr:rowOff>185547</xdr:rowOff>
    </xdr:to>
    <xdr:graphicFrame macro="">
      <xdr:nvGraphicFramePr>
        <xdr:cNvPr id="4" name="Chart 3">
          <a:extLst>
            <a:ext uri="{FF2B5EF4-FFF2-40B4-BE49-F238E27FC236}">
              <a16:creationId xmlns:a16="http://schemas.microsoft.com/office/drawing/2014/main" id="{BD86183C-D0D0-48AF-BC9C-E8D496CAE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561974</xdr:colOff>
      <xdr:row>22</xdr:row>
      <xdr:rowOff>104776</xdr:rowOff>
    </xdr:from>
    <xdr:to>
      <xdr:col>7</xdr:col>
      <xdr:colOff>248411</xdr:colOff>
      <xdr:row>37</xdr:row>
      <xdr:rowOff>109348</xdr:rowOff>
    </xdr:to>
    <xdr:graphicFrame macro="">
      <xdr:nvGraphicFramePr>
        <xdr:cNvPr id="6" name="Chart 5">
          <a:extLst>
            <a:ext uri="{FF2B5EF4-FFF2-40B4-BE49-F238E27FC236}">
              <a16:creationId xmlns:a16="http://schemas.microsoft.com/office/drawing/2014/main" id="{DB37485E-1266-4599-A97C-0BCC9B55E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376237</xdr:colOff>
      <xdr:row>22</xdr:row>
      <xdr:rowOff>104775</xdr:rowOff>
    </xdr:from>
    <xdr:to>
      <xdr:col>14</xdr:col>
      <xdr:colOff>205549</xdr:colOff>
      <xdr:row>37</xdr:row>
      <xdr:rowOff>109347</xdr:rowOff>
    </xdr:to>
    <xdr:graphicFrame macro="">
      <xdr:nvGraphicFramePr>
        <xdr:cNvPr id="7" name="Chart 6">
          <a:extLst>
            <a:ext uri="{FF2B5EF4-FFF2-40B4-BE49-F238E27FC236}">
              <a16:creationId xmlns:a16="http://schemas.microsoft.com/office/drawing/2014/main" id="{1921526C-48EE-42BF-A131-F281618AE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104776</xdr:colOff>
      <xdr:row>0</xdr:row>
      <xdr:rowOff>238125</xdr:rowOff>
    </xdr:from>
    <xdr:to>
      <xdr:col>14</xdr:col>
      <xdr:colOff>200026</xdr:colOff>
      <xdr:row>6</xdr:row>
      <xdr:rowOff>104776</xdr:rowOff>
    </xdr:to>
    <mc:AlternateContent xmlns:mc="http://schemas.openxmlformats.org/markup-compatibility/2006" xmlns:a14="http://schemas.microsoft.com/office/drawing/2010/main">
      <mc:Choice Requires="a14">
        <xdr:graphicFrame macro="">
          <xdr:nvGraphicFramePr>
            <xdr:cNvPr id="9" name="County 1">
              <a:extLst>
                <a:ext uri="{FF2B5EF4-FFF2-40B4-BE49-F238E27FC236}">
                  <a16:creationId xmlns:a16="http://schemas.microsoft.com/office/drawing/2014/main" id="{43D56790-F42B-40D5-90B1-B4AAF4D2F8B3}"/>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6953251" y="238125"/>
              <a:ext cx="1924050" cy="128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5.646660879633" backgroundQuery="1" createdVersion="8" refreshedVersion="8" minRefreshableVersion="3" recordCount="0" supportSubquery="1" supportAdvancedDrill="1" xr:uid="{15226CA7-2391-40C7-BBEE-E8C699A4E3F6}">
  <cacheSource type="external" connectionId="4"/>
  <cacheFields count="3">
    <cacheField name="[Arizona_Census_Housing_CLEAN].[County].[County]" caption="County" numFmtId="0" hierarchy="1" level="1">
      <sharedItems count="15">
        <s v="Apache County"/>
        <s v="Cochise County"/>
        <s v="Coconino County"/>
        <s v="Gila County"/>
        <s v="Graham County"/>
        <s v="Greenlee County"/>
        <s v="La Paz County"/>
        <s v="Maricopa County"/>
        <s v="Mohave County"/>
        <s v="Navajo County"/>
        <s v="Pima County"/>
        <s v="Pinal County"/>
        <s v="Santa Cruz County"/>
        <s v="Yavapai County"/>
        <s v="Yuma County"/>
      </sharedItems>
    </cacheField>
    <cacheField name="[Measures].[Average of Home Value to Income Ratio]" caption="Average of Home Value to Income Ratio" numFmtId="0" hierarchy="42" level="32767"/>
    <cacheField name="[Arizona_Census_Housing_CLEAN].[Year].[Year]" caption="Year" numFmtId="0" level="1">
      <sharedItems containsSemiMixedTypes="0" containsNonDate="0" containsString="0"/>
    </cacheField>
  </cacheFields>
  <cacheHierarchies count="48">
    <cacheHierarchy uniqueName="[Arizona_Census_Housing_CLEAN].[Year]" caption="Year" attribute="1" defaultMemberUniqueName="[Arizona_Census_Housing_CLEAN].[Year].[All]" allUniqueName="[Arizona_Census_Housing_CLEAN].[Year].[All]" dimensionUniqueName="[Arizona_Census_Housing_CLEAN]" displayFolder="" count="2" memberValueDatatype="20" unbalanced="0">
      <fieldsUsage count="2">
        <fieldUsage x="-1"/>
        <fieldUsage x="2"/>
      </fieldsUsage>
    </cacheHierarchy>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fieldsUsage count="2">
        <fieldUsage x="-1"/>
        <fieldUsage x="0"/>
      </fieldsUsage>
    </cacheHierarchy>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0" memberValueDatatype="20" unbalanced="0"/>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y uniqueName="[Measures].[Sum of Year]" caption="Sum of Year" measure="1" displayFolder="" measureGroup="Arizona_Census_Housing_CLEAN" count="0" hidden="1">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verage 30-Year Mortgage Rate]" caption="Sum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Average of Average 30-Year Mortgage Rate]" caption="Average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Sum of Arizona House Price Index]" caption="Sum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Average of Arizona House Price Index]" caption="Average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Arizona_FRED_Annual_ANALYSIS" count="0" hidden="1">
      <extLst>
        <ext xmlns:x15="http://schemas.microsoft.com/office/spreadsheetml/2010/11/main" uri="{B97F6D7D-B522-45F9-BDA1-12C45D357490}">
          <x15:cacheHierarchy aggregatedColumn="12"/>
        </ext>
      </extLst>
    </cacheHierarchy>
  </cacheHierarchies>
  <kpis count="0"/>
  <dimensions count="4">
    <dimension name="Arizona_Census_Housing_CLEAN" uniqueName="[Arizona_Census_Housing_CLEAN]" caption="Arizona_Census_Housing_CLEAN"/>
    <dimension name="Arizona_FRED_Annual_ANALYSIS" uniqueName="[Arizona_FRED_Annual_ANALYSIS]" caption="Arizona_FRED_Annual_ANALYSIS"/>
    <dimension name="Arizona_FRED_Housing_CLEAN" uniqueName="[Arizona_FRED_Housing_CLEAN]" caption="Arizona_FRED_Housing_CLEAN"/>
    <dimension measure="1" name="Measures" uniqueName="[Measures]" caption="Measures"/>
  </dimensions>
  <measureGroups count="3">
    <measureGroup name="Arizona_Census_Housing_CLEAN" caption="Arizona_Census_Housing_CLEAN"/>
    <measureGroup name="Arizona_FRED_Annual_ANALYSIS" caption="Arizona_FRED_Annual_ANALYSIS"/>
    <measureGroup name="Arizona_FRED_Housing_CLEAN" caption="Arizona_FRED_Housing_CLEAN"/>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7.646569560187" backgroundQuery="1" createdVersion="8" refreshedVersion="8" minRefreshableVersion="3" recordCount="0" supportSubquery="1" supportAdvancedDrill="1" xr:uid="{A982E77C-C9BB-4216-BD57-0EAB7D1C4E63}">
  <cacheSource type="external" connectionId="4"/>
  <cacheFields count="4">
    <cacheField name="[Arizona_Census_Housing_CLEAN].[Year].[Year]" caption="Year" numFmtId="0"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Arizona_Census_Housing_CLEAN].[Year].&amp;[2015]"/>
            <x15:cachedUniqueName index="1" name="[Arizona_Census_Housing_CLEAN].[Year].&amp;[2016]"/>
            <x15:cachedUniqueName index="2" name="[Arizona_Census_Housing_CLEAN].[Year].&amp;[2017]"/>
            <x15:cachedUniqueName index="3" name="[Arizona_Census_Housing_CLEAN].[Year].&amp;[2018]"/>
            <x15:cachedUniqueName index="4" name="[Arizona_Census_Housing_CLEAN].[Year].&amp;[2019]"/>
            <x15:cachedUniqueName index="5" name="[Arizona_Census_Housing_CLEAN].[Year].&amp;[2020]"/>
            <x15:cachedUniqueName index="6" name="[Arizona_Census_Housing_CLEAN].[Year].&amp;[2021]"/>
            <x15:cachedUniqueName index="7" name="[Arizona_Census_Housing_CLEAN].[Year].&amp;[2022]"/>
            <x15:cachedUniqueName index="8" name="[Arizona_Census_Housing_CLEAN].[Year].&amp;[2023]"/>
            <x15:cachedUniqueName index="9" name="[Arizona_Census_Housing_CLEAN].[Year].&amp;[2024]"/>
          </x15:cachedUniqueNames>
        </ext>
      </extLst>
    </cacheField>
    <cacheField name="[Measures].[Average of Median Household Income]" caption="Average of Median Household Income" numFmtId="0" hierarchy="39" level="32767"/>
    <cacheField name="[Measures].[Average of Median Home Value]" caption="Average of Median Home Value" numFmtId="0" hierarchy="40" level="32767"/>
    <cacheField name="[Arizona_Census_Housing_CLEAN].[County].[County]" caption="County" numFmtId="0" hierarchy="1" level="1">
      <sharedItems containsSemiMixedTypes="0" containsNonDate="0" containsString="0"/>
    </cacheField>
  </cacheFields>
  <cacheHierarchies count="48">
    <cacheHierarchy uniqueName="[Arizona_Census_Housing_CLEAN].[Year]" caption="Year" attribute="1" defaultMemberUniqueName="[Arizona_Census_Housing_CLEAN].[Year].[All]" allUniqueName="[Arizona_Census_Housing_CLEAN].[Year].[All]" dimensionUniqueName="[Arizona_Census_Housing_CLEAN]" displayFolder="" count="2" memberValueDatatype="20" unbalanced="0">
      <fieldsUsage count="2">
        <fieldUsage x="-1"/>
        <fieldUsage x="0"/>
      </fieldsUsage>
    </cacheHierarchy>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fieldsUsage count="2">
        <fieldUsage x="-1"/>
        <fieldUsage x="3"/>
      </fieldsUsage>
    </cacheHierarchy>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0" memberValueDatatype="20" unbalanced="0"/>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y uniqueName="[Measures].[Sum of Year]" caption="Sum of Year" measure="1" displayFolder="" measureGroup="Arizona_Census_Housing_CLEAN" count="0" hidden="1">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Sum of Average 30-Year Mortgage Rate]" caption="Sum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Average of Average 30-Year Mortgage Rate]" caption="Average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Sum of Arizona House Price Index]" caption="Sum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Average of Arizona House Price Index]" caption="Average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Arizona_FRED_Annual_ANALYSIS" count="0" hidden="1">
      <extLst>
        <ext xmlns:x15="http://schemas.microsoft.com/office/spreadsheetml/2010/11/main" uri="{B97F6D7D-B522-45F9-BDA1-12C45D357490}">
          <x15:cacheHierarchy aggregatedColumn="12"/>
        </ext>
      </extLst>
    </cacheHierarchy>
  </cacheHierarchies>
  <kpis count="0"/>
  <dimensions count="4">
    <dimension name="Arizona_Census_Housing_CLEAN" uniqueName="[Arizona_Census_Housing_CLEAN]" caption="Arizona_Census_Housing_CLEAN"/>
    <dimension name="Arizona_FRED_Annual_ANALYSIS" uniqueName="[Arizona_FRED_Annual_ANALYSIS]" caption="Arizona_FRED_Annual_ANALYSIS"/>
    <dimension name="Arizona_FRED_Housing_CLEAN" uniqueName="[Arizona_FRED_Housing_CLEAN]" caption="Arizona_FRED_Housing_CLEAN"/>
    <dimension measure="1" name="Measures" uniqueName="[Measures]" caption="Measures"/>
  </dimensions>
  <measureGroups count="3">
    <measureGroup name="Arizona_Census_Housing_CLEAN" caption="Arizona_Census_Housing_CLEAN"/>
    <measureGroup name="Arizona_FRED_Annual_ANALYSIS" caption="Arizona_FRED_Annual_ANALYSIS"/>
    <measureGroup name="Arizona_FRED_Housing_CLEAN" caption="Arizona_FRED_Housing_CLEAN"/>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7.646569907411" backgroundQuery="1" createdVersion="8" refreshedVersion="8" minRefreshableVersion="3" recordCount="0" supportSubquery="1" supportAdvancedDrill="1" xr:uid="{F6FD66CE-0FF3-4844-B9E4-1B8A72BD4319}">
  <cacheSource type="external" connectionId="4"/>
  <cacheFields count="4">
    <cacheField name="[Measures].[Income Growth %]" caption="Income Growth %" numFmtId="0" hierarchy="21" level="32767"/>
    <cacheField name="[Measures].[Home Value Growth %]" caption="Home Value Growth %" numFmtId="0" hierarchy="24" level="32767"/>
    <cacheField name="[Arizona_Census_Housing_CLEAN].[County].[County]" caption="County" numFmtId="0" hierarchy="1" level="1">
      <sharedItems containsSemiMixedTypes="0" containsNonDate="0" containsString="0"/>
    </cacheField>
    <cacheField name="[Measures].[Rent Growth %]" caption="Rent Growth %" numFmtId="0" hierarchy="28" level="32767"/>
  </cacheFields>
  <cacheHierarchies count="48">
    <cacheHierarchy uniqueName="[Arizona_Census_Housing_CLEAN].[Year]" caption="Year" attribute="1" defaultMemberUniqueName="[Arizona_Census_Housing_CLEAN].[Year].[All]" allUniqueName="[Arizona_Census_Housing_CLEAN].[Year].[All]" dimensionUniqueName="[Arizona_Census_Housing_CLEAN]" displayFolder="" count="0" memberValueDatatype="20" unbalanced="0"/>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fieldsUsage count="2">
        <fieldUsage x="-1"/>
        <fieldUsage x="2"/>
      </fieldsUsage>
    </cacheHierarchy>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0" memberValueDatatype="20" unbalanced="0"/>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oneField="1">
      <fieldsUsage count="1">
        <fieldUsage x="0"/>
      </fieldsUsage>
    </cacheHierarchy>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oneField="1">
      <fieldsUsage count="1">
        <fieldUsage x="1"/>
      </fieldsUsage>
    </cacheHierarchy>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oneField="1">
      <fieldsUsage count="1">
        <fieldUsage x="3"/>
      </fieldsUsage>
    </cacheHierarchy>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y uniqueName="[Measures].[Sum of Year]" caption="Sum of Year" measure="1" displayFolder="" measureGroup="Arizona_Census_Housing_CLEAN" count="0" hidden="1">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Sum of Average 30-Year Mortgage Rate]" caption="Sum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Average of Average 30-Year Mortgage Rate]" caption="Average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Sum of Arizona House Price Index]" caption="Sum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Average of Arizona House Price Index]" caption="Average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Arizona_FRED_Annual_ANALYSIS" count="0" hidden="1">
      <extLst>
        <ext xmlns:x15="http://schemas.microsoft.com/office/spreadsheetml/2010/11/main" uri="{B97F6D7D-B522-45F9-BDA1-12C45D357490}">
          <x15:cacheHierarchy aggregatedColumn="12"/>
        </ext>
      </extLst>
    </cacheHierarchy>
  </cacheHierarchies>
  <kpis count="0"/>
  <dimensions count="4">
    <dimension name="Arizona_Census_Housing_CLEAN" uniqueName="[Arizona_Census_Housing_CLEAN]" caption="Arizona_Census_Housing_CLEAN"/>
    <dimension name="Arizona_FRED_Annual_ANALYSIS" uniqueName="[Arizona_FRED_Annual_ANALYSIS]" caption="Arizona_FRED_Annual_ANALYSIS"/>
    <dimension name="Arizona_FRED_Housing_CLEAN" uniqueName="[Arizona_FRED_Housing_CLEAN]" caption="Arizona_FRED_Housing_CLEAN"/>
    <dimension measure="1" name="Measures" uniqueName="[Measures]" caption="Measures"/>
  </dimensions>
  <measureGroups count="3">
    <measureGroup name="Arizona_Census_Housing_CLEAN" caption="Arizona_Census_Housing_CLEAN"/>
    <measureGroup name="Arizona_FRED_Annual_ANALYSIS" caption="Arizona_FRED_Annual_ANALYSIS"/>
    <measureGroup name="Arizona_FRED_Housing_CLEAN" caption="Arizona_FRED_Housing_CLEAN"/>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7.646570254627" backgroundQuery="1" createdVersion="8" refreshedVersion="8" minRefreshableVersion="3" recordCount="0" supportSubquery="1" supportAdvancedDrill="1" xr:uid="{8BB09919-06EF-4A79-A7B2-5C2F0D53B0A3}">
  <cacheSource type="external" connectionId="4"/>
  <cacheFields count="3">
    <cacheField name="[Arizona_Census_Housing_CLEAN].[County].[County]" caption="County" numFmtId="0" hierarchy="1" level="1">
      <sharedItems count="1">
        <s v="Yuma County"/>
      </sharedItems>
    </cacheField>
    <cacheField name="[Measures].[Population Growth %]" caption="Population Growth %" numFmtId="0" hierarchy="31" level="32767"/>
    <cacheField name="[Measures].[Home Value Growth %]" caption="Home Value Growth %" numFmtId="0" hierarchy="24" level="32767"/>
  </cacheFields>
  <cacheHierarchies count="48">
    <cacheHierarchy uniqueName="[Arizona_Census_Housing_CLEAN].[Year]" caption="Year" attribute="1" defaultMemberUniqueName="[Arizona_Census_Housing_CLEAN].[Year].[All]" allUniqueName="[Arizona_Census_Housing_CLEAN].[Year].[All]" dimensionUniqueName="[Arizona_Census_Housing_CLEAN]" displayFolder="" count="0" memberValueDatatype="20" unbalanced="0"/>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fieldsUsage count="2">
        <fieldUsage x="-1"/>
        <fieldUsage x="0"/>
      </fieldsUsage>
    </cacheHierarchy>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0" memberValueDatatype="20" unbalanced="0"/>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oneField="1">
      <fieldsUsage count="1">
        <fieldUsage x="2"/>
      </fieldsUsage>
    </cacheHierarchy>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oneField="1">
      <fieldsUsage count="1">
        <fieldUsage x="1"/>
      </fieldsUsage>
    </cacheHierarchy>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y uniqueName="[Measures].[Sum of Year]" caption="Sum of Year" measure="1" displayFolder="" measureGroup="Arizona_Census_Housing_CLEAN" count="0" hidden="1">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Sum of Average 30-Year Mortgage Rate]" caption="Sum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Average of Average 30-Year Mortgage Rate]" caption="Average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Sum of Arizona House Price Index]" caption="Sum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Average of Arizona House Price Index]" caption="Average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Arizona_FRED_Annual_ANALYSIS" count="0" hidden="1">
      <extLst>
        <ext xmlns:x15="http://schemas.microsoft.com/office/spreadsheetml/2010/11/main" uri="{B97F6D7D-B522-45F9-BDA1-12C45D357490}">
          <x15:cacheHierarchy aggregatedColumn="12"/>
        </ext>
      </extLst>
    </cacheHierarchy>
  </cacheHierarchies>
  <kpis count="0"/>
  <dimensions count="4">
    <dimension name="Arizona_Census_Housing_CLEAN" uniqueName="[Arizona_Census_Housing_CLEAN]" caption="Arizona_Census_Housing_CLEAN"/>
    <dimension name="Arizona_FRED_Annual_ANALYSIS" uniqueName="[Arizona_FRED_Annual_ANALYSIS]" caption="Arizona_FRED_Annual_ANALYSIS"/>
    <dimension name="Arizona_FRED_Housing_CLEAN" uniqueName="[Arizona_FRED_Housing_CLEAN]" caption="Arizona_FRED_Housing_CLEAN"/>
    <dimension measure="1" name="Measures" uniqueName="[Measures]" caption="Measures"/>
  </dimensions>
  <measureGroups count="3">
    <measureGroup name="Arizona_Census_Housing_CLEAN" caption="Arizona_Census_Housing_CLEAN"/>
    <measureGroup name="Arizona_FRED_Annual_ANALYSIS" caption="Arizona_FRED_Annual_ANALYSIS"/>
    <measureGroup name="Arizona_FRED_Housing_CLEAN" caption="Arizona_FRED_Housing_CLEAN"/>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7.64657060185" backgroundQuery="1" createdVersion="8" refreshedVersion="8" minRefreshableVersion="3" recordCount="0" supportSubquery="1" supportAdvancedDrill="1" xr:uid="{3AA4968B-DE84-4876-B5B2-075E5B965A77}">
  <cacheSource type="external" connectionId="4"/>
  <cacheFields count="4">
    <cacheField name="[Measures].[Average of Average 30-Year Mortgage Rate]" caption="Average of Average 30-Year Mortgage Rate" numFmtId="0" hierarchy="44" level="32767"/>
    <cacheField name="[Measures].[Average of Arizona House Price Index]" caption="Average of Arizona House Price Index" numFmtId="0" hierarchy="46" level="32767"/>
    <cacheField name="[Arizona_FRED_Annual_ANALYSIS].[Year].[Year]" caption="Year" numFmtId="0" hierarchy="12"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Arizona_FRED_Annual_ANALYSIS].[Year].&amp;[2015]"/>
            <x15:cachedUniqueName index="1" name="[Arizona_FRED_Annual_ANALYSIS].[Year].&amp;[2016]"/>
            <x15:cachedUniqueName index="2" name="[Arizona_FRED_Annual_ANALYSIS].[Year].&amp;[2017]"/>
            <x15:cachedUniqueName index="3" name="[Arizona_FRED_Annual_ANALYSIS].[Year].&amp;[2018]"/>
            <x15:cachedUniqueName index="4" name="[Arizona_FRED_Annual_ANALYSIS].[Year].&amp;[2019]"/>
            <x15:cachedUniqueName index="5" name="[Arizona_FRED_Annual_ANALYSIS].[Year].&amp;[2020]"/>
            <x15:cachedUniqueName index="6" name="[Arizona_FRED_Annual_ANALYSIS].[Year].&amp;[2021]"/>
            <x15:cachedUniqueName index="7" name="[Arizona_FRED_Annual_ANALYSIS].[Year].&amp;[2022]"/>
            <x15:cachedUniqueName index="8" name="[Arizona_FRED_Annual_ANALYSIS].[Year].&amp;[2023]"/>
            <x15:cachedUniqueName index="9" name="[Arizona_FRED_Annual_ANALYSIS].[Year].&amp;[2024]"/>
          </x15:cachedUniqueNames>
        </ext>
      </extLst>
    </cacheField>
    <cacheField name="[Arizona_Census_Housing_CLEAN].[County].[County]" caption="County" numFmtId="0" hierarchy="1" level="1">
      <sharedItems containsSemiMixedTypes="0" containsNonDate="0" containsString="0"/>
    </cacheField>
  </cacheFields>
  <cacheHierarchies count="48">
    <cacheHierarchy uniqueName="[Arizona_Census_Housing_CLEAN].[Year]" caption="Year" attribute="1" defaultMemberUniqueName="[Arizona_Census_Housing_CLEAN].[Year].[All]" allUniqueName="[Arizona_Census_Housing_CLEAN].[Year].[All]" dimensionUniqueName="[Arizona_Census_Housing_CLEAN]" displayFolder="" count="0" memberValueDatatype="20" unbalanced="0"/>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fieldsUsage count="2">
        <fieldUsage x="-1"/>
        <fieldUsage x="3"/>
      </fieldsUsage>
    </cacheHierarchy>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2" memberValueDatatype="20" unbalanced="0">
      <fieldsUsage count="2">
        <fieldUsage x="-1"/>
        <fieldUsage x="2"/>
      </fieldsUsage>
    </cacheHierarchy>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y uniqueName="[Measures].[Sum of Year]" caption="Sum of Year" measure="1" displayFolder="" measureGroup="Arizona_Census_Housing_CLEAN" count="0" hidden="1">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hidden="1">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hidden="1">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hidden="1">
      <extLst>
        <ext xmlns:x15="http://schemas.microsoft.com/office/spreadsheetml/2010/11/main" uri="{B97F6D7D-B522-45F9-BDA1-12C45D357490}">
          <x15:cacheHierarchy aggregatedColumn="8"/>
        </ext>
      </extLst>
    </cacheHierarchy>
    <cacheHierarchy uniqueName="[Measures].[Sum of Average 30-Year Mortgage Rate]" caption="Sum of Average 30-Year Mortgage Rate" measure="1" displayFolder="" measureGroup="Arizona_FRED_Annual_ANALYSIS" count="0" hidden="1">
      <extLst>
        <ext xmlns:x15="http://schemas.microsoft.com/office/spreadsheetml/2010/11/main" uri="{B97F6D7D-B522-45F9-BDA1-12C45D357490}">
          <x15:cacheHierarchy aggregatedColumn="13"/>
        </ext>
      </extLst>
    </cacheHierarchy>
    <cacheHierarchy uniqueName="[Measures].[Average of Average 30-Year Mortgage Rate]" caption="Average of Average 30-Year Mortgage Rate" measure="1" displayFolder="" measureGroup="Arizona_FRED_Annual_ANALYSI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rizona House Price Index]" caption="Sum of Arizona House Price Index" measure="1" displayFolder="" measureGroup="Arizona_FRED_Annual_ANALYSIS" count="0" hidden="1">
      <extLst>
        <ext xmlns:x15="http://schemas.microsoft.com/office/spreadsheetml/2010/11/main" uri="{B97F6D7D-B522-45F9-BDA1-12C45D357490}">
          <x15:cacheHierarchy aggregatedColumn="14"/>
        </ext>
      </extLst>
    </cacheHierarchy>
    <cacheHierarchy uniqueName="[Measures].[Average of Arizona House Price Index]" caption="Average of Arizona House Price Index" measure="1" displayFolder="" measureGroup="Arizona_FRED_Annual_ANALYSI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2]" caption="Sum of Year 2" measure="1" displayFolder="" measureGroup="Arizona_FRED_Annual_ANALYSIS" count="0" hidden="1">
      <extLst>
        <ext xmlns:x15="http://schemas.microsoft.com/office/spreadsheetml/2010/11/main" uri="{B97F6D7D-B522-45F9-BDA1-12C45D357490}">
          <x15:cacheHierarchy aggregatedColumn="12"/>
        </ext>
      </extLst>
    </cacheHierarchy>
  </cacheHierarchies>
  <kpis count="0"/>
  <dimensions count="4">
    <dimension name="Arizona_Census_Housing_CLEAN" uniqueName="[Arizona_Census_Housing_CLEAN]" caption="Arizona_Census_Housing_CLEAN"/>
    <dimension name="Arizona_FRED_Annual_ANALYSIS" uniqueName="[Arizona_FRED_Annual_ANALYSIS]" caption="Arizona_FRED_Annual_ANALYSIS"/>
    <dimension name="Arizona_FRED_Housing_CLEAN" uniqueName="[Arizona_FRED_Housing_CLEAN]" caption="Arizona_FRED_Housing_CLEAN"/>
    <dimension measure="1" name="Measures" uniqueName="[Measures]" caption="Measures"/>
  </dimensions>
  <measureGroups count="3">
    <measureGroup name="Arizona_Census_Housing_CLEAN" caption="Arizona_Census_Housing_CLEAN"/>
    <measureGroup name="Arizona_FRED_Annual_ANALYSIS" caption="Arizona_FRED_Annual_ANALYSIS"/>
    <measureGroup name="Arizona_FRED_Housing_CLEAN" caption="Arizona_FRED_Housing_CLEAN"/>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mez, Lizbeth" refreshedDate="46295.646661226849" backgroundQuery="1" createdVersion="3" refreshedVersion="8" minRefreshableVersion="3" recordCount="0" supportSubquery="1" supportAdvancedDrill="1" xr:uid="{C6179913-6037-4C15-BFD4-6872B8B57BF0}">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Arizona_Census_Housing_CLEAN].[Year]" caption="Year" attribute="1" defaultMemberUniqueName="[Arizona_Census_Housing_CLEAN].[Year].[All]" allUniqueName="[Arizona_Census_Housing_CLEAN].[Year].[All]" dimensionUniqueName="[Arizona_Census_Housing_CLEAN]" displayFolder="" count="0" memberValueDatatype="20" unbalanced="0"/>
    <cacheHierarchy uniqueName="[Arizona_Census_Housing_CLEAN].[County]" caption="County" attribute="1" defaultMemberUniqueName="[Arizona_Census_Housing_CLEAN].[County].[All]" allUniqueName="[Arizona_Census_Housing_CLEAN].[County].[All]" dimensionUniqueName="[Arizona_Census_Housing_CLEAN]" displayFolder="" count="2" memberValueDatatype="130" unbalanced="0"/>
    <cacheHierarchy uniqueName="[Arizona_Census_Housing_CLEAN].[State FIPS]" caption="State FIPS" attribute="1" defaultMemberUniqueName="[Arizona_Census_Housing_CLEAN].[State FIPS].[All]" allUniqueName="[Arizona_Census_Housing_CLEAN].[State FIPS].[All]" dimensionUniqueName="[Arizona_Census_Housing_CLEAN]" displayFolder="" count="0" memberValueDatatype="20" unbalanced="0"/>
    <cacheHierarchy uniqueName="[Arizona_Census_Housing_CLEAN].[County FIPS]" caption="County FIPS" attribute="1" defaultMemberUniqueName="[Arizona_Census_Housing_CLEAN].[County FIPS].[All]" allUniqueName="[Arizona_Census_Housing_CLEAN].[County FIPS].[All]" dimensionUniqueName="[Arizona_Census_Housing_CLEAN]" displayFolder="" count="0" memberValueDatatype="20" unbalanced="0"/>
    <cacheHierarchy uniqueName="[Arizona_Census_Housing_CLEAN].[Full FIPS]" caption="Full FIPS" attribute="1" defaultMemberUniqueName="[Arizona_Census_Housing_CLEAN].[Full FIPS].[All]" allUniqueName="[Arizona_Census_Housing_CLEAN].[Full FIPS].[All]" dimensionUniqueName="[Arizona_Census_Housing_CLEAN]" displayFolder="" count="0" memberValueDatatype="20" unbalanced="0"/>
    <cacheHierarchy uniqueName="[Arizona_Census_Housing_CLEAN].[Population]" caption="Population" attribute="1" defaultMemberUniqueName="[Arizona_Census_Housing_CLEAN].[Population].[All]" allUniqueName="[Arizona_Census_Housing_CLEAN].[Population].[All]" dimensionUniqueName="[Arizona_Census_Housing_CLEAN]" displayFolder="" count="0" memberValueDatatype="20" unbalanced="0"/>
    <cacheHierarchy uniqueName="[Arizona_Census_Housing_CLEAN].[Median Household Income]" caption="Median Household Income" attribute="1" defaultMemberUniqueName="[Arizona_Census_Housing_CLEAN].[Median Household Income].[All]" allUniqueName="[Arizona_Census_Housing_CLEAN].[Median Household Income].[All]" dimensionUniqueName="[Arizona_Census_Housing_CLEAN]" displayFolder="" count="0" memberValueDatatype="20" unbalanced="0"/>
    <cacheHierarchy uniqueName="[Arizona_Census_Housing_CLEAN].[Median Home Value]" caption="Median Home Value" attribute="1" defaultMemberUniqueName="[Arizona_Census_Housing_CLEAN].[Median Home Value].[All]" allUniqueName="[Arizona_Census_Housing_CLEAN].[Median Home Value].[All]" dimensionUniqueName="[Arizona_Census_Housing_CLEAN]" displayFolder="" count="0" memberValueDatatype="20" unbalanced="0"/>
    <cacheHierarchy uniqueName="[Arizona_Census_Housing_CLEAN].[Home Value to Income Ratio]" caption="Home Value to Income Ratio" attribute="1" defaultMemberUniqueName="[Arizona_Census_Housing_CLEAN].[Home Value to Income Ratio].[All]" allUniqueName="[Arizona_Census_Housing_CLEAN].[Home Value to Income Ratio].[All]" dimensionUniqueName="[Arizona_Census_Housing_CLEAN]" displayFolder="" count="0" memberValueDatatype="5" unbalanced="0"/>
    <cacheHierarchy uniqueName="[Arizona_Census_Housing_CLEAN].[Median Gross Rent]" caption="Median Gross Rent" attribute="1" defaultMemberUniqueName="[Arizona_Census_Housing_CLEAN].[Median Gross Rent].[All]" allUniqueName="[Arizona_Census_Housing_CLEAN].[Median Gross Rent].[All]" dimensionUniqueName="[Arizona_Census_Housing_CLEAN]" displayFolder="" count="0" memberValueDatatype="20" unbalanced="0"/>
    <cacheHierarchy uniqueName="[Arizona_Census_Housing_CLEAN].[Annualized Median Gross Rent]" caption="Annualized Median Gross Rent" attribute="1" defaultMemberUniqueName="[Arizona_Census_Housing_CLEAN].[Annualized Median Gross Rent].[All]" allUniqueName="[Arizona_Census_Housing_CLEAN].[Annualized Median Gross Rent].[All]" dimensionUniqueName="[Arizona_Census_Housing_CLEAN]" displayFolder="" count="0" memberValueDatatype="20" unbalanced="0"/>
    <cacheHierarchy uniqueName="[Arizona_Census_Housing_CLEAN].[Rent to Income Percent]" caption="Rent to Income Percent" attribute="1" defaultMemberUniqueName="[Arizona_Census_Housing_CLEAN].[Rent to Income Percent].[All]" allUniqueName="[Arizona_Census_Housing_CLEAN].[Rent to Income Percent].[All]" dimensionUniqueName="[Arizona_Census_Housing_CLEAN]" displayFolder="" count="0" memberValueDatatype="5" unbalanced="0"/>
    <cacheHierarchy uniqueName="[Arizona_FRED_Annual_ANALYSIS].[Year]" caption="Year" attribute="1" defaultMemberUniqueName="[Arizona_FRED_Annual_ANALYSIS].[Year].[All]" allUniqueName="[Arizona_FRED_Annual_ANALYSIS].[Year].[All]" dimensionUniqueName="[Arizona_FRED_Annual_ANALYSIS]" displayFolder="" count="0" memberValueDatatype="20" unbalanced="0"/>
    <cacheHierarchy uniqueName="[Arizona_FRED_Annual_ANALYSIS].[Average 30-Year Mortgage Rate]" caption="Average 30-Year Mortgage Rate" attribute="1" defaultMemberUniqueName="[Arizona_FRED_Annual_ANALYSIS].[Average 30-Year Mortgage Rate].[All]" allUniqueName="[Arizona_FRED_Annual_ANALYSIS].[Average 30-Year Mortgage Rate].[All]" dimensionUniqueName="[Arizona_FRED_Annual_ANALYSIS]" displayFolder="" count="0" memberValueDatatype="5" unbalanced="0"/>
    <cacheHierarchy uniqueName="[Arizona_FRED_Annual_ANALYSIS].[Arizona House Price Index]" caption="Arizona House Price Index" attribute="1" defaultMemberUniqueName="[Arizona_FRED_Annual_ANALYSIS].[Arizona House Price Index].[All]" allUniqueName="[Arizona_FRED_Annual_ANALYSIS].[Arizona House Price Index].[All]" dimensionUniqueName="[Arizona_FRED_Annual_ANALYSIS]" displayFolder="" count="0" memberValueDatatype="5" unbalanced="0"/>
    <cacheHierarchy uniqueName="[Arizona_FRED_Housing_CLEAN].[Year]" caption="Year" attribute="1" defaultMemberUniqueName="[Arizona_FRED_Housing_CLEAN].[Year].[All]" allUniqueName="[Arizona_FRED_Housing_CLEAN].[Year].[All]" dimensionUniqueName="[Arizona_FRED_Housing_CLEAN]" displayFolder="" count="0" memberValueDatatype="20" unbalanced="0"/>
    <cacheHierarchy uniqueName="[Arizona_FRED_Housing_CLEAN].[Series ID]" caption="Series ID" attribute="1" defaultMemberUniqueName="[Arizona_FRED_Housing_CLEAN].[Series ID].[All]" allUniqueName="[Arizona_FRED_Housing_CLEAN].[Series ID].[All]" dimensionUniqueName="[Arizona_FRED_Housing_CLEAN]" displayFolder="" count="0" memberValueDatatype="130" unbalanced="0"/>
    <cacheHierarchy uniqueName="[Arizona_FRED_Housing_CLEAN].[Series]" caption="Series" attribute="1" defaultMemberUniqueName="[Arizona_FRED_Housing_CLEAN].[Series].[All]" allUniqueName="[Arizona_FRED_Housing_CLEAN].[Series].[All]" dimensionUniqueName="[Arizona_FRED_Housing_CLEAN]" displayFolder="" count="0" memberValueDatatype="130" unbalanced="0"/>
    <cacheHierarchy uniqueName="[Arizona_FRED_Housing_CLEAN].[Value]" caption="Value" attribute="1" defaultMemberUniqueName="[Arizona_FRED_Housing_CLEAN].[Value].[All]" allUniqueName="[Arizona_FRED_Housing_CLEAN].[Value].[All]" dimensionUniqueName="[Arizona_FRED_Housing_CLEAN]" displayFolder="" count="0" memberValueDatatype="5" unbalanced="0"/>
    <cacheHierarchy uniqueName="[Measures].[Sum of Year]" caption="Sum of Year" measure="1" displayFolder="" measureGroup="Arizona_Census_Housing_CLEAN" count="0">
      <extLst>
        <ext xmlns:x15="http://schemas.microsoft.com/office/spreadsheetml/2010/11/main" uri="{B97F6D7D-B522-45F9-BDA1-12C45D357490}">
          <x15:cacheHierarchy aggregatedColumn="0"/>
        </ext>
      </extLst>
    </cacheHierarchy>
    <cacheHierarchy uniqueName="[Measures].[Sum of Median Household Income]" caption="Sum of Median Household Income" measure="1" displayFolder="" measureGroup="Arizona_Census_Housing_CLEAN" count="0">
      <extLst>
        <ext xmlns:x15="http://schemas.microsoft.com/office/spreadsheetml/2010/11/main" uri="{B97F6D7D-B522-45F9-BDA1-12C45D357490}">
          <x15:cacheHierarchy aggregatedColumn="6"/>
        </ext>
      </extLst>
    </cacheHierarchy>
    <cacheHierarchy uniqueName="[Measures].[Sum of Median Home Value]" caption="Sum of Median Home Value" measure="1" displayFolder="" measureGroup="Arizona_Census_Housing_CLEAN" count="0">
      <extLst>
        <ext xmlns:x15="http://schemas.microsoft.com/office/spreadsheetml/2010/11/main" uri="{B97F6D7D-B522-45F9-BDA1-12C45D357490}">
          <x15:cacheHierarchy aggregatedColumn="7"/>
        </ext>
      </extLst>
    </cacheHierarchy>
    <cacheHierarchy uniqueName="[Measures].[Average of Median Household Income]" caption="Average of Median Household Income" measure="1" displayFolder="" measureGroup="Arizona_Census_Housing_CLEAN" count="0">
      <extLst>
        <ext xmlns:x15="http://schemas.microsoft.com/office/spreadsheetml/2010/11/main" uri="{B97F6D7D-B522-45F9-BDA1-12C45D357490}">
          <x15:cacheHierarchy aggregatedColumn="6"/>
        </ext>
      </extLst>
    </cacheHierarchy>
    <cacheHierarchy uniqueName="[Measures].[Average of Median Home Value]" caption="Average of Median Home Value" measure="1" displayFolder="" measureGroup="Arizona_Census_Housing_CLEAN" count="0">
      <extLst>
        <ext xmlns:x15="http://schemas.microsoft.com/office/spreadsheetml/2010/11/main" uri="{B97F6D7D-B522-45F9-BDA1-12C45D357490}">
          <x15:cacheHierarchy aggregatedColumn="7"/>
        </ext>
      </extLst>
    </cacheHierarchy>
    <cacheHierarchy uniqueName="[Measures].[Sum of Home Value to Income Ratio]" caption="Sum of Home Value to Income Ratio" measure="1" displayFolder="" measureGroup="Arizona_Census_Housing_CLEAN" count="0">
      <extLst>
        <ext xmlns:x15="http://schemas.microsoft.com/office/spreadsheetml/2010/11/main" uri="{B97F6D7D-B522-45F9-BDA1-12C45D357490}">
          <x15:cacheHierarchy aggregatedColumn="8"/>
        </ext>
      </extLst>
    </cacheHierarchy>
    <cacheHierarchy uniqueName="[Measures].[Average of Home Value to Income Ratio]" caption="Average of Home Value to Income Ratio" measure="1" displayFolder="" measureGroup="Arizona_Census_Housing_CLEAN" count="0">
      <extLst>
        <ext xmlns:x15="http://schemas.microsoft.com/office/spreadsheetml/2010/11/main" uri="{B97F6D7D-B522-45F9-BDA1-12C45D357490}">
          <x15:cacheHierarchy aggregatedColumn="8"/>
        </ext>
      </extLst>
    </cacheHierarchy>
    <cacheHierarchy uniqueName="[Measures].[Income 2015]" caption="Income 2015" measure="1" displayFolder="" measureGroup="Arizona_Census_Housing_CLEAN" count="0"/>
    <cacheHierarchy uniqueName="[Measures].[Income 2024]" caption="Income 2024" measure="1" displayFolder="" measureGroup="Arizona_Census_Housing_CLEAN" count="0"/>
    <cacheHierarchy uniqueName="[Measures].[Income Growth %]" caption="Income Growth %" measure="1" displayFolder="" measureGroup="Arizona_Census_Housing_CLEAN" count="0"/>
    <cacheHierarchy uniqueName="[Measures].[Home Value 2015]" caption="Home Value 2015" measure="1" displayFolder="" measureGroup="Arizona_Census_Housing_CLEAN" count="0"/>
    <cacheHierarchy uniqueName="[Measures].[Home Value 2024]" caption="Home Value 2024" measure="1" displayFolder="" measureGroup="Arizona_Census_Housing_CLEAN" count="0"/>
    <cacheHierarchy uniqueName="[Measures].[Home Value Growth %]" caption="Home Value Growth %" measure="1" displayFolder="" measureGroup="Arizona_Census_Housing_CLEAN" count="0"/>
    <cacheHierarchy uniqueName="[Measures].[Growth Gap]" caption="Growth Gap" measure="1" displayFolder="" measureGroup="Arizona_Census_Housing_CLEAN" count="0"/>
    <cacheHierarchy uniqueName="[Measures].[Rent 2015]" caption="Rent 2015" measure="1" displayFolder="" measureGroup="Arizona_Census_Housing_CLEAN" count="0"/>
    <cacheHierarchy uniqueName="[Measures].[Rent 2024]" caption="Rent 2024" measure="1" displayFolder="" measureGroup="Arizona_Census_Housing_CLEAN" count="0"/>
    <cacheHierarchy uniqueName="[Measures].[Rent Growth %]" caption="Rent Growth %" measure="1" displayFolder="" measureGroup="Arizona_Census_Housing_CLEAN" count="0"/>
    <cacheHierarchy uniqueName="[Measures].[Population 2015]" caption="Population 2015" measure="1" displayFolder="" measureGroup="Arizona_Census_Housing_CLEAN" count="0"/>
    <cacheHierarchy uniqueName="[Measures].[Population 2024]" caption="Population 2024" measure="1" displayFolder="" measureGroup="Arizona_Census_Housing_CLEAN" count="0"/>
    <cacheHierarchy uniqueName="[Measures].[Population Growth %]" caption="Population Growth %" measure="1" displayFolder="" measureGroup="Arizona_Census_Housing_CLEAN" count="0"/>
    <cacheHierarchy uniqueName="[Measures].[__XL_Count Arizona_Census_Housing_CLEAN]" caption="__XL_Count Arizona_Census_Housing_CLEAN" measure="1" displayFolder="" measureGroup="Arizona_Census_Housing_CLEAN" count="0" hidden="1"/>
    <cacheHierarchy uniqueName="[Measures].[__XL_Count Arizona_FRED_Housing_CLEAN]" caption="__XL_Count Arizona_FRED_Housing_CLEAN" measure="1" displayFolder="" measureGroup="Arizona_FRED_Housing_CLEAN" count="0" hidden="1"/>
    <cacheHierarchy uniqueName="[Measures].[__XL_Count Arizona_FRED_Annual_ANALYSIS]" caption="__XL_Count Arizona_FRED_Annual_ANALYSIS" measure="1" displayFolder="" measureGroup="Arizona_FRED_Annual_ANALYSI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44394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1B9AE-FCC6-48E4-A4F3-BDC8AFDD5EF5}" name="PivotTable6" cacheId="60" applyNumberFormats="0" applyBorderFormats="0" applyFontFormats="0" applyPatternFormats="0" applyAlignmentFormats="0" applyWidthHeightFormats="1" dataCaption="Values" tag="1603fcdc-32c1-4f94-afa6-0ede2338d051" updatedVersion="8" minRefreshableVersion="3" useAutoFormatting="1" itemPrintTitles="1" createdVersion="8" indent="0" outline="1" outlineData="1" multipleFieldFilters="0" chartFormat="30">
  <location ref="AB2:AD1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30-Year Mortgage Rate" fld="0" subtotal="average" baseField="0" baseItem="0"/>
    <dataField name="Arizona House Price Index" fld="1" subtotal="average" baseField="0"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members count="1" level="1">
        <member name="[Arizona_Census_Housing_CLEAN].[County].&amp;[Yuma Coun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ousehold Income"/>
    <pivotHierarchy dragToRow="0" dragToCol="0" dragToPage="0" dragToData="1"/>
    <pivotHierarchy dragToRow="0" dragToCol="0" dragToPage="0" dragToData="1"/>
    <pivotHierarchy dragToRow="0" dragToCol="0" dragToPage="0" dragToData="1" caption="Home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edian Household Income"/>
    <pivotHierarchy dragToData="1" caption="Median Home Value"/>
    <pivotHierarchy dragToData="1"/>
    <pivotHierarchy dragToData="1"/>
    <pivotHierarchy dragToData="1"/>
    <pivotHierarchy dragToData="1" caption="30-Year Mortgage Rate"/>
    <pivotHierarchy dragToData="1"/>
    <pivotHierarchy dragToData="1" caption="Arizona House Price Index"/>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izona_Census_Housing_CLEAN]"/>
        <x15:activeTabTopLevelEntity name="[Arizona_FRED_Annual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540D4C-26A7-4069-905B-10B0A51F6E2A}" name="PivotTable5" cacheId="57" applyNumberFormats="0" applyBorderFormats="0" applyFontFormats="0" applyPatternFormats="0" applyAlignmentFormats="0" applyWidthHeightFormats="1" dataCaption="Values" tag="ba3fd45f-b118-43b0-b6b7-ce9195e921f9" updatedVersion="8" minRefreshableVersion="3" useAutoFormatting="1" itemPrintTitles="1" createdVersion="8" indent="0" outline="1" outlineData="1" multipleFieldFilters="0" chartFormat="23">
  <location ref="P3:R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ousehold Income"/>
    <pivotHierarchy dragToRow="0" dragToCol="0" dragToPage="0" dragToData="1"/>
    <pivotHierarchy dragToRow="0" dragToCol="0" dragToPage="0" dragToData="1"/>
    <pivotHierarchy dragToRow="0" dragToCol="0" dragToPage="0" dragToData="1" caption="Home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edian Household Income"/>
    <pivotHierarchy dragToData="1" caption="Median Home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izona_Census_Housing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3B51A-935C-4FED-B65C-638064747171}" name="PivotTable4" cacheId="0" applyNumberFormats="0" applyBorderFormats="0" applyFontFormats="0" applyPatternFormats="0" applyAlignmentFormats="0" applyWidthHeightFormats="1" dataCaption="Values" tag="42aeab07-b0b0-45f9-9a59-97e7ddeea4c6" updatedVersion="8" minRefreshableVersion="3" useAutoFormatting="1" subtotalHiddenItems="1" itemPrintTitles="1" createdVersion="8" indent="0" outline="1" outlineData="1" multipleFieldFilters="0" chartFormat="24">
  <location ref="M5:N21" firstHeaderRow="1" firstDataRow="1" firstDataCol="1" rowPageCount="1" colPageCount="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16">
    <i>
      <x/>
    </i>
    <i>
      <x v="5"/>
    </i>
    <i>
      <x v="6"/>
    </i>
    <i>
      <x v="4"/>
    </i>
    <i>
      <x v="14"/>
    </i>
    <i>
      <x v="1"/>
    </i>
    <i>
      <x v="9"/>
    </i>
    <i>
      <x v="12"/>
    </i>
    <i>
      <x v="3"/>
    </i>
    <i>
      <x v="11"/>
    </i>
    <i>
      <x v="10"/>
    </i>
    <i>
      <x v="8"/>
    </i>
    <i>
      <x v="7"/>
    </i>
    <i>
      <x v="13"/>
    </i>
    <i>
      <x v="2"/>
    </i>
    <i t="grand">
      <x/>
    </i>
  </rowItems>
  <colItems count="1">
    <i/>
  </colItems>
  <pageFields count="1">
    <pageField fld="2" hier="0" name="[Arizona_Census_Housing_CLEAN].[Year].&amp;[2024]" cap="2024"/>
  </pageFields>
  <dataFields count="1">
    <dataField name="Average of Home Value to Income Ratio" fld="1" subtotal="average"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8">
    <pivotHierarchy multipleItemSelectionAllowed="1" dragToData="1">
      <members count="1" level="1">
        <member name="[Arizona_Census_Housing_CLEAN].[Year].&amp;[2024]"/>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ousehold Income"/>
    <pivotHierarchy dragToRow="0" dragToCol="0" dragToPage="0" dragToData="1"/>
    <pivotHierarchy dragToRow="0" dragToCol="0" dragToPage="0" dragToData="1"/>
    <pivotHierarchy dragToRow="0" dragToCol="0" dragToPage="0" dragToData="1" caption="Home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edian Household Income"/>
    <pivotHierarchy dragToData="1" caption="Median Home Value"/>
    <pivotHierarchy dragToData="1"/>
    <pivotHierarchy dragToData="1" caption="Average of Home Value to Income Ratio"/>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izona_Census_Housing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EFC99-10E4-4455-BA99-0D7DFC32A5E6}" name="PivotTable3" cacheId="54" applyNumberFormats="0" applyBorderFormats="0" applyFontFormats="0" applyPatternFormats="0" applyAlignmentFormats="0" applyWidthHeightFormats="1" dataCaption="Values" tag="2c711a89-9dd8-481f-9579-25e342075656" updatedVersion="8" minRefreshableVersion="3" useAutoFormatting="1" itemPrintTitles="1" createdVersion="8" indent="0" outline="1" outlineData="1" multipleFieldFilters="0" chartFormat="20">
  <location ref="J3:L4"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3">
    <i>
      <x/>
    </i>
    <i i="1">
      <x v="1"/>
    </i>
    <i i="2">
      <x v="2"/>
    </i>
  </colItems>
  <dataFields count="3">
    <dataField name="Household Income" fld="0" subtotal="count" baseField="0" baseItem="0" numFmtId="164"/>
    <dataField name="Home Value" fld="1" subtotal="count" baseField="0" baseItem="0" numFmtId="164"/>
    <dataField name="Rent Growth" fld="3" subtotal="count" baseField="0" baseItem="0" numFmtId="164"/>
  </dataFields>
  <chartFormats count="3">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s>
  <pivotHierarchies count="48">
    <pivotHierarchy dragToData="1"/>
    <pivotHierarchy multipleItemSelectionAllowed="1" dragToData="1">
      <members count="1" level="1">
        <member name="[Arizona_Census_Housing_CLEAN].[County].&amp;[Yuma Coun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ousehold Income"/>
    <pivotHierarchy dragToRow="0" dragToCol="0" dragToPage="0" dragToData="1"/>
    <pivotHierarchy dragToRow="0" dragToCol="0" dragToPage="0" dragToData="1"/>
    <pivotHierarchy dragToRow="0" dragToCol="0" dragToPage="0" dragToData="1" caption="Home Value"/>
    <pivotHierarchy dragToRow="0" dragToCol="0" dragToPage="0" dragToData="1"/>
    <pivotHierarchy dragToRow="0" dragToCol="0" dragToPage="0" dragToData="1"/>
    <pivotHierarchy dragToRow="0" dragToCol="0" dragToPage="0" dragToData="1"/>
    <pivotHierarchy dragToRow="0" dragToCol="0" dragToPage="0" dragToData="1" caption="Rent Grow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edian Household Income"/>
    <pivotHierarchy dragToData="1" caption="Median Home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izona_Census_Housing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44E92-FB5D-4A27-A70B-1FDA293F4D61}" name="PivotTable2" cacheId="51" applyNumberFormats="0" applyBorderFormats="0" applyFontFormats="0" applyPatternFormats="0" applyAlignmentFormats="0" applyWidthHeightFormats="1" dataCaption="Values" tag="7f9ee909-4bf1-4d03-8b02-e890c1332764" updatedVersion="8" minRefreshableVersion="3" useAutoFormatting="1" itemPrintTitles="1" createdVersion="8" indent="0" outline="1" outlineData="1" multipleFieldFilters="0" chartFormat="10">
  <location ref="B3:D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Median Household Income" fld="1" subtotal="average" baseField="0" baseItem="6"/>
    <dataField name="Median Home Value" fld="2" subtotal="average" baseField="0" baseItem="6"/>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members count="1" level="1">
        <member name="[Arizona_Census_Housing_CLEAN].[County].&amp;[Yuma Coun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edian Household Income"/>
    <pivotHierarchy dragToData="1" caption="Median Home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izona_Census_Housing_CLE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20A72E57-CE34-443A-846A-2FE2666016AB}" sourceName="[Arizona_Census_Housing_CLEAN].[County]">
  <pivotTables>
    <pivotTable tabId="5" name="PivotTable2"/>
    <pivotTable tabId="5" name="PivotTable3"/>
    <pivotTable tabId="5" name="PivotTable5"/>
    <pivotTable tabId="5" name="PivotTable6"/>
  </pivotTables>
  <data>
    <olap pivotCacheId="584439417">
      <levels count="2">
        <level uniqueName="[Arizona_Census_Housing_CLEAN].[County].[(All)]" sourceCaption="(All)" count="0"/>
        <level uniqueName="[Arizona_Census_Housing_CLEAN].[County].[County]" sourceCaption="County" count="15">
          <ranges>
            <range startItem="0">
              <i n="[Arizona_Census_Housing_CLEAN].[County].&amp;[Apache County]" c="Apache County"/>
              <i n="[Arizona_Census_Housing_CLEAN].[County].&amp;[Cochise County]" c="Cochise County"/>
              <i n="[Arizona_Census_Housing_CLEAN].[County].&amp;[Coconino County]" c="Coconino County"/>
              <i n="[Arizona_Census_Housing_CLEAN].[County].&amp;[Gila County]" c="Gila County"/>
              <i n="[Arizona_Census_Housing_CLEAN].[County].&amp;[Graham County]" c="Graham County"/>
              <i n="[Arizona_Census_Housing_CLEAN].[County].&amp;[Greenlee County]" c="Greenlee County"/>
              <i n="[Arizona_Census_Housing_CLEAN].[County].&amp;[La Paz County]" c="La Paz County"/>
              <i n="[Arizona_Census_Housing_CLEAN].[County].&amp;[Maricopa County]" c="Maricopa County"/>
              <i n="[Arizona_Census_Housing_CLEAN].[County].&amp;[Mohave County]" c="Mohave County"/>
              <i n="[Arizona_Census_Housing_CLEAN].[County].&amp;[Navajo County]" c="Navajo County"/>
              <i n="[Arizona_Census_Housing_CLEAN].[County].&amp;[Pima County]" c="Pima County"/>
              <i n="[Arizona_Census_Housing_CLEAN].[County].&amp;[Pinal County]" c="Pinal County"/>
              <i n="[Arizona_Census_Housing_CLEAN].[County].&amp;[Santa Cruz County]" c="Santa Cruz County"/>
              <i n="[Arizona_Census_Housing_CLEAN].[County].&amp;[Yavapai County]" c="Yavapai County"/>
              <i n="[Arizona_Census_Housing_CLEAN].[County].&amp;[Yuma County]" c="Yuma County"/>
            </range>
          </ranges>
        </level>
      </levels>
      <selections count="1">
        <selection n="[Arizona_Census_Housing_CLEAN].[County].&amp;[Yuma County]"/>
      </selections>
    </olap>
  </data>
  <extLst>
    <x:ext xmlns:x15="http://schemas.microsoft.com/office/spreadsheetml/2010/11/main" uri="{470722E0-AACD-4C17-9CDC-17EF765DBC7E}">
      <x15:slicerCacheHideItemsWithNoData count="1">
        <x15:slicerCacheOlapLevelName uniqueName="[Arizona_Census_Housing_CLEAN].[County].[Count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9CC2B5B0-4C41-4EF5-A570-CE435172195A}" cache="Slicer_County" caption="County" startItem="7"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1" xr10:uid="{A7DB3E32-EF41-4B85-8016-56405A813369}" cache="Slicer_County" caption="County" startItem="12"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429F-D994-47CA-A5A5-D9F2BA38FADE}">
  <dimension ref="A1"/>
  <sheetViews>
    <sheetView workbookViewId="0">
      <selection activeCell="C1" sqref="C1"/>
    </sheetView>
  </sheetViews>
  <sheetFormatPr defaultRowHeight="15" x14ac:dyDescent="0.25"/>
  <cols>
    <col min="1" max="1" width="7.28515625" bestFit="1" customWidth="1"/>
    <col min="2" max="2" width="15.28515625" bestFit="1" customWidth="1"/>
    <col min="3" max="3" width="24.140625" bestFit="1" customWidth="1"/>
    <col min="4" max="4" width="8.28515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5834-B1BB-479D-8F78-AB77FD36A1A7}">
  <dimension ref="A1"/>
  <sheetViews>
    <sheetView workbookViewId="0">
      <selection sqref="A1:L151"/>
    </sheetView>
  </sheetViews>
  <sheetFormatPr defaultRowHeight="15" x14ac:dyDescent="0.25"/>
  <cols>
    <col min="1" max="1" width="7.28515625" bestFit="1" customWidth="1"/>
    <col min="2" max="2" width="16.85546875" bestFit="1" customWidth="1"/>
    <col min="3" max="3" width="12.28515625" bestFit="1" customWidth="1"/>
    <col min="4" max="4" width="14.140625" bestFit="1" customWidth="1"/>
    <col min="5" max="5" width="10.85546875" bestFit="1" customWidth="1"/>
    <col min="6" max="6" width="13" bestFit="1" customWidth="1"/>
    <col min="7" max="7" width="27.85546875" bestFit="1" customWidth="1"/>
    <col min="8" max="8" width="21.42578125" bestFit="1" customWidth="1"/>
    <col min="9" max="9" width="29.28515625" bestFit="1" customWidth="1"/>
    <col min="10" max="10" width="20.5703125" bestFit="1" customWidth="1"/>
    <col min="11" max="11" width="31.140625" bestFit="1" customWidth="1"/>
    <col min="12" max="12" width="24.85546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6C84-1C57-423B-9A4C-85FFD138E216}">
  <dimension ref="A1"/>
  <sheetViews>
    <sheetView workbookViewId="0">
      <selection activeCell="A2" sqref="A1:A2"/>
    </sheetView>
  </sheetViews>
  <sheetFormatPr defaultRowHeight="15" x14ac:dyDescent="0.25"/>
  <cols>
    <col min="1" max="1" width="7.28515625" bestFit="1" customWidth="1"/>
    <col min="2" max="2" width="31.42578125" bestFit="1" customWidth="1"/>
    <col min="3" max="3" width="27"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B0BB-2DE3-4F01-A874-AF7B7BDAD99D}">
  <dimension ref="B1:AD21"/>
  <sheetViews>
    <sheetView topLeftCell="E1" zoomScale="80" zoomScaleNormal="80" workbookViewId="0">
      <selection activeCell="AE43" sqref="AE43"/>
    </sheetView>
  </sheetViews>
  <sheetFormatPr defaultRowHeight="15" x14ac:dyDescent="0.25"/>
  <cols>
    <col min="2" max="2" width="14.140625" bestFit="1" customWidth="1"/>
    <col min="3" max="3" width="25.5703125" bestFit="1" customWidth="1"/>
    <col min="4" max="4" width="19.140625" bestFit="1" customWidth="1"/>
    <col min="10" max="10" width="18.28515625" bestFit="1" customWidth="1"/>
    <col min="11" max="11" width="12" bestFit="1" customWidth="1"/>
    <col min="12" max="12" width="12.28515625" bestFit="1" customWidth="1"/>
    <col min="13" max="13" width="16.85546875" bestFit="1" customWidth="1"/>
    <col min="14" max="14" width="37.140625" bestFit="1" customWidth="1"/>
    <col min="16" max="16" width="14.140625" bestFit="1" customWidth="1"/>
    <col min="17" max="17" width="20" bestFit="1" customWidth="1"/>
    <col min="18" max="18" width="13" bestFit="1" customWidth="1"/>
    <col min="28" max="28" width="14.140625" bestFit="1" customWidth="1"/>
    <col min="29" max="29" width="21.5703125" bestFit="1" customWidth="1"/>
    <col min="30" max="30" width="24.7109375" bestFit="1" customWidth="1"/>
  </cols>
  <sheetData>
    <row r="1" spans="2:30" s="5" customFormat="1" ht="18.75" x14ac:dyDescent="0.3">
      <c r="B1" s="5">
        <v>1</v>
      </c>
      <c r="J1" s="6" t="s">
        <v>30</v>
      </c>
      <c r="M1" s="6" t="s">
        <v>28</v>
      </c>
      <c r="P1" s="5">
        <v>6</v>
      </c>
    </row>
    <row r="2" spans="2:30" x14ac:dyDescent="0.25">
      <c r="B2" t="s">
        <v>25</v>
      </c>
      <c r="J2" t="s">
        <v>24</v>
      </c>
      <c r="P2" t="s">
        <v>24</v>
      </c>
      <c r="T2" t="s">
        <v>24</v>
      </c>
      <c r="AB2" s="2" t="s">
        <v>20</v>
      </c>
      <c r="AC2" t="s">
        <v>19</v>
      </c>
      <c r="AD2" t="s">
        <v>18</v>
      </c>
    </row>
    <row r="3" spans="2:30" x14ac:dyDescent="0.25">
      <c r="B3" s="2" t="s">
        <v>20</v>
      </c>
      <c r="C3" t="s">
        <v>1</v>
      </c>
      <c r="D3" t="s">
        <v>2</v>
      </c>
      <c r="J3" t="s">
        <v>23</v>
      </c>
      <c r="K3" t="s">
        <v>22</v>
      </c>
      <c r="L3" t="s">
        <v>29</v>
      </c>
      <c r="M3" s="2" t="s">
        <v>0</v>
      </c>
      <c r="N3" t="s" vm="1">
        <v>27</v>
      </c>
      <c r="P3" s="2" t="s">
        <v>20</v>
      </c>
      <c r="Q3" t="s">
        <v>31</v>
      </c>
      <c r="R3" t="s">
        <v>22</v>
      </c>
      <c r="T3" t="s">
        <v>20</v>
      </c>
      <c r="U3" t="s">
        <v>31</v>
      </c>
      <c r="V3" t="s">
        <v>22</v>
      </c>
      <c r="AB3" s="3">
        <v>2015</v>
      </c>
      <c r="AC3" s="1">
        <v>3.85</v>
      </c>
      <c r="AD3" s="1">
        <v>319.31</v>
      </c>
    </row>
    <row r="4" spans="2:30" x14ac:dyDescent="0.25">
      <c r="B4" s="3">
        <v>2015</v>
      </c>
      <c r="C4" s="1">
        <v>40743</v>
      </c>
      <c r="D4" s="1">
        <v>112100</v>
      </c>
      <c r="J4" s="4">
        <v>0.54323442063667382</v>
      </c>
      <c r="K4" s="4">
        <v>0.94290811775200711</v>
      </c>
      <c r="L4" s="4">
        <v>0.1835518474374255</v>
      </c>
      <c r="P4" s="3" t="s">
        <v>17</v>
      </c>
      <c r="Q4" s="1">
        <v>4.3125914467428951E-2</v>
      </c>
      <c r="R4" s="1">
        <v>0.94290811775200711</v>
      </c>
      <c r="T4" t="s">
        <v>3</v>
      </c>
      <c r="U4">
        <v>-9.4046364594309803E-2</v>
      </c>
      <c r="V4">
        <v>-0.23529411764705882</v>
      </c>
      <c r="AB4" s="3">
        <v>2016</v>
      </c>
      <c r="AC4" s="1">
        <v>3.65</v>
      </c>
      <c r="AD4" s="1">
        <v>340.79</v>
      </c>
    </row>
    <row r="5" spans="2:30" x14ac:dyDescent="0.25">
      <c r="B5" s="3">
        <v>2016</v>
      </c>
      <c r="C5" s="1">
        <v>41467</v>
      </c>
      <c r="D5" s="1">
        <v>113400</v>
      </c>
      <c r="M5" s="2" t="s">
        <v>20</v>
      </c>
      <c r="N5" t="s">
        <v>26</v>
      </c>
      <c r="P5" s="3" t="s">
        <v>21</v>
      </c>
      <c r="Q5" s="1">
        <v>4.3125914467428951E-2</v>
      </c>
      <c r="R5" s="1">
        <v>0.94290811775200711</v>
      </c>
      <c r="T5" t="s">
        <v>4</v>
      </c>
      <c r="U5">
        <v>-3.1477781977215055E-2</v>
      </c>
      <c r="V5">
        <v>0.51702571230020844</v>
      </c>
      <c r="AB5" s="3">
        <v>2017</v>
      </c>
      <c r="AC5" s="1">
        <v>3.99</v>
      </c>
      <c r="AD5" s="1">
        <v>366.35</v>
      </c>
    </row>
    <row r="6" spans="2:30" x14ac:dyDescent="0.25">
      <c r="B6" s="3">
        <v>2017</v>
      </c>
      <c r="C6" s="1">
        <v>43253</v>
      </c>
      <c r="D6" s="1">
        <v>117000</v>
      </c>
      <c r="M6" s="3" t="s">
        <v>3</v>
      </c>
      <c r="N6" s="1">
        <v>1.54</v>
      </c>
      <c r="T6" t="s">
        <v>5</v>
      </c>
      <c r="U6">
        <v>5.7110043086736749E-2</v>
      </c>
      <c r="V6">
        <v>1.0428636570907432</v>
      </c>
      <c r="AB6" s="3">
        <v>2018</v>
      </c>
      <c r="AC6" s="1">
        <v>4.54</v>
      </c>
      <c r="AD6" s="1">
        <v>395.24</v>
      </c>
    </row>
    <row r="7" spans="2:30" x14ac:dyDescent="0.25">
      <c r="B7" s="3">
        <v>2018</v>
      </c>
      <c r="C7" s="1">
        <v>44058</v>
      </c>
      <c r="D7" s="1">
        <v>122000</v>
      </c>
      <c r="M7" s="3" t="s">
        <v>8</v>
      </c>
      <c r="N7" s="1">
        <v>2.23</v>
      </c>
      <c r="T7" t="s">
        <v>6</v>
      </c>
      <c r="U7">
        <v>1.1849901250822911E-2</v>
      </c>
      <c r="V7">
        <v>1.007451564828614</v>
      </c>
      <c r="AB7" s="3">
        <v>2019</v>
      </c>
      <c r="AC7" s="1">
        <v>3.94</v>
      </c>
      <c r="AD7" s="1">
        <v>421.55</v>
      </c>
    </row>
    <row r="8" spans="2:30" x14ac:dyDescent="0.25">
      <c r="B8" s="3">
        <v>2019</v>
      </c>
      <c r="C8" s="1">
        <v>45243</v>
      </c>
      <c r="D8" s="1">
        <v>127900</v>
      </c>
      <c r="M8" s="3" t="s">
        <v>9</v>
      </c>
      <c r="N8" s="1">
        <v>2.74</v>
      </c>
      <c r="T8" t="s">
        <v>7</v>
      </c>
      <c r="U8">
        <v>4.8787660063624456E-2</v>
      </c>
      <c r="V8">
        <v>0.71938361719383614</v>
      </c>
      <c r="AB8" s="3">
        <v>2020</v>
      </c>
      <c r="AC8" s="1">
        <v>3.11</v>
      </c>
      <c r="AD8" s="1">
        <v>456.22</v>
      </c>
    </row>
    <row r="9" spans="2:30" x14ac:dyDescent="0.25">
      <c r="B9" s="3">
        <v>2020</v>
      </c>
      <c r="C9" s="1">
        <v>48790</v>
      </c>
      <c r="D9" s="1">
        <v>139200</v>
      </c>
      <c r="M9" s="3" t="s">
        <v>7</v>
      </c>
      <c r="N9" s="1">
        <v>3.15</v>
      </c>
      <c r="T9" t="s">
        <v>8</v>
      </c>
      <c r="U9">
        <v>4.2779563338135873E-2</v>
      </c>
      <c r="V9">
        <v>0.91777509068923824</v>
      </c>
      <c r="AB9" s="3">
        <v>2021</v>
      </c>
      <c r="AC9" s="1">
        <v>2.96</v>
      </c>
      <c r="AD9" s="1">
        <v>556.32000000000005</v>
      </c>
    </row>
    <row r="10" spans="2:30" x14ac:dyDescent="0.25">
      <c r="B10" s="3">
        <v>2021</v>
      </c>
      <c r="C10" s="1">
        <v>52563</v>
      </c>
      <c r="D10" s="1">
        <v>148900</v>
      </c>
      <c r="M10" s="3" t="s">
        <v>17</v>
      </c>
      <c r="N10" s="1">
        <v>3.46</v>
      </c>
      <c r="T10" t="s">
        <v>9</v>
      </c>
      <c r="U10">
        <v>-0.18052618637816573</v>
      </c>
      <c r="V10">
        <v>0.9652677279305355</v>
      </c>
      <c r="AB10" s="3">
        <v>2022</v>
      </c>
      <c r="AC10" s="1">
        <v>5.34</v>
      </c>
      <c r="AD10" s="1">
        <v>673.16</v>
      </c>
    </row>
    <row r="11" spans="2:30" x14ac:dyDescent="0.25">
      <c r="B11" s="3">
        <v>2022</v>
      </c>
      <c r="C11" s="1">
        <v>56439</v>
      </c>
      <c r="D11" s="1">
        <v>173500</v>
      </c>
      <c r="M11" s="3" t="s">
        <v>4</v>
      </c>
      <c r="N11" s="1">
        <v>3.65</v>
      </c>
      <c r="T11" t="s">
        <v>10</v>
      </c>
      <c r="U11">
        <v>0.13478987681623078</v>
      </c>
      <c r="V11">
        <v>1.4200962052378407</v>
      </c>
      <c r="AB11" s="3">
        <v>2023</v>
      </c>
      <c r="AC11" s="1">
        <v>6.81</v>
      </c>
      <c r="AD11" s="1">
        <v>680.75</v>
      </c>
    </row>
    <row r="12" spans="2:30" x14ac:dyDescent="0.25">
      <c r="B12" s="3">
        <v>2023</v>
      </c>
      <c r="C12" s="1">
        <v>60417</v>
      </c>
      <c r="D12" s="1">
        <v>195700</v>
      </c>
      <c r="M12" s="3" t="s">
        <v>12</v>
      </c>
      <c r="N12" s="1">
        <v>3.69</v>
      </c>
      <c r="T12" t="s">
        <v>11</v>
      </c>
      <c r="U12">
        <v>8.435695951062637E-2</v>
      </c>
      <c r="V12">
        <v>1.2808441558441559</v>
      </c>
      <c r="AB12" s="3">
        <v>2024</v>
      </c>
      <c r="AC12" s="1">
        <v>6.72</v>
      </c>
      <c r="AD12" s="1">
        <v>710.2</v>
      </c>
    </row>
    <row r="13" spans="2:30" x14ac:dyDescent="0.25">
      <c r="B13" s="3">
        <v>2024</v>
      </c>
      <c r="C13" s="1">
        <v>62876</v>
      </c>
      <c r="D13" s="1">
        <v>217800</v>
      </c>
      <c r="M13" s="3" t="s">
        <v>15</v>
      </c>
      <c r="N13" s="1">
        <v>4.22</v>
      </c>
      <c r="T13" t="s">
        <v>12</v>
      </c>
      <c r="U13">
        <v>7.0502340789180351E-3</v>
      </c>
      <c r="V13">
        <v>0.93007662835249039</v>
      </c>
      <c r="AB13" s="3" t="s">
        <v>21</v>
      </c>
      <c r="AC13" s="1">
        <v>4.4909999999999997</v>
      </c>
      <c r="AD13" s="1">
        <v>491.98900000000003</v>
      </c>
    </row>
    <row r="14" spans="2:30" x14ac:dyDescent="0.25">
      <c r="B14" s="3" t="s">
        <v>21</v>
      </c>
      <c r="C14" s="1">
        <v>49584.9</v>
      </c>
      <c r="D14" s="1">
        <v>146750</v>
      </c>
      <c r="M14" s="3" t="s">
        <v>6</v>
      </c>
      <c r="N14" s="1">
        <v>4.3499999999999996</v>
      </c>
      <c r="T14" t="s">
        <v>13</v>
      </c>
      <c r="U14">
        <v>6.2043770035562031E-2</v>
      </c>
      <c r="V14">
        <v>0.99937460913070664</v>
      </c>
    </row>
    <row r="15" spans="2:30" x14ac:dyDescent="0.25">
      <c r="M15" s="3" t="s">
        <v>14</v>
      </c>
      <c r="N15" s="1">
        <v>4.3499999999999996</v>
      </c>
      <c r="T15" t="s">
        <v>14</v>
      </c>
      <c r="U15">
        <v>0.20328294490112167</v>
      </c>
      <c r="V15">
        <v>1.7117327117327117</v>
      </c>
    </row>
    <row r="16" spans="2:30" x14ac:dyDescent="0.25">
      <c r="M16" s="3" t="s">
        <v>13</v>
      </c>
      <c r="N16" s="1">
        <v>4.55</v>
      </c>
      <c r="T16" t="s">
        <v>15</v>
      </c>
      <c r="U16">
        <v>3.9364391477067537E-2</v>
      </c>
      <c r="V16">
        <v>0.7007299270072993</v>
      </c>
    </row>
    <row r="17" spans="13:22" x14ac:dyDescent="0.25">
      <c r="M17" s="3" t="s">
        <v>11</v>
      </c>
      <c r="N17" s="1">
        <v>4.87</v>
      </c>
      <c r="T17" t="s">
        <v>16</v>
      </c>
      <c r="U17">
        <v>0.13650252782458935</v>
      </c>
      <c r="V17">
        <v>1.2592986184909671</v>
      </c>
    </row>
    <row r="18" spans="13:22" x14ac:dyDescent="0.25">
      <c r="M18" s="3" t="s">
        <v>10</v>
      </c>
      <c r="N18" s="1">
        <v>5.07</v>
      </c>
      <c r="T18" t="s">
        <v>17</v>
      </c>
      <c r="U18">
        <v>4.3125914467428951E-2</v>
      </c>
      <c r="V18">
        <v>0.94290811775200711</v>
      </c>
    </row>
    <row r="19" spans="13:22" x14ac:dyDescent="0.25">
      <c r="M19" s="3" t="s">
        <v>16</v>
      </c>
      <c r="N19" s="1">
        <v>6.11</v>
      </c>
      <c r="T19" t="s">
        <v>21</v>
      </c>
      <c r="U19">
        <v>0.11094820660507004</v>
      </c>
      <c r="V19">
        <v>0.99649368863955101</v>
      </c>
    </row>
    <row r="20" spans="13:22" x14ac:dyDescent="0.25">
      <c r="M20" s="3" t="s">
        <v>5</v>
      </c>
      <c r="N20" s="1">
        <v>6.14</v>
      </c>
    </row>
    <row r="21" spans="13:22" x14ac:dyDescent="0.25">
      <c r="M21" s="3" t="s">
        <v>21</v>
      </c>
      <c r="N21" s="1">
        <v>4.008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C5A2B-C2B5-46C8-8D20-FE859AED0B14}">
  <dimension ref="A1:G5"/>
  <sheetViews>
    <sheetView zoomScaleNormal="100" workbookViewId="0">
      <selection activeCell="R20" sqref="R20"/>
    </sheetView>
  </sheetViews>
  <sheetFormatPr defaultRowHeight="15" x14ac:dyDescent="0.25"/>
  <cols>
    <col min="1" max="1" width="9.140625" style="8"/>
    <col min="2" max="2" width="9.85546875" style="8" bestFit="1" customWidth="1"/>
    <col min="3" max="3" width="9.140625" style="8"/>
    <col min="4" max="4" width="9.85546875" style="8" bestFit="1" customWidth="1"/>
    <col min="5" max="5" width="9.140625" style="8"/>
    <col min="6" max="6" width="9.85546875" style="8" bestFit="1" customWidth="1"/>
    <col min="7" max="16384" width="9.140625" style="8"/>
  </cols>
  <sheetData>
    <row r="1" spans="1:7" ht="26.25" x14ac:dyDescent="0.4">
      <c r="A1" s="7" t="s">
        <v>32</v>
      </c>
    </row>
    <row r="2" spans="1:7" x14ac:dyDescent="0.25">
      <c r="A2" s="9" t="s">
        <v>33</v>
      </c>
    </row>
    <row r="3" spans="1:7" ht="15.75" thickBot="1" x14ac:dyDescent="0.3"/>
    <row r="4" spans="1:7" x14ac:dyDescent="0.25">
      <c r="B4" s="10" t="s">
        <v>34</v>
      </c>
      <c r="C4" s="11"/>
      <c r="D4" s="10" t="s">
        <v>35</v>
      </c>
      <c r="E4" s="11"/>
      <c r="F4" s="10" t="s">
        <v>29</v>
      </c>
      <c r="G4" s="11"/>
    </row>
    <row r="5" spans="1:7" ht="24.75" thickBot="1" x14ac:dyDescent="0.45">
      <c r="B5" s="12">
        <f>Pivots!$J$4</f>
        <v>0.54323442063667382</v>
      </c>
      <c r="C5" s="13"/>
      <c r="D5" s="12">
        <f>Pivots!$K$4</f>
        <v>0.94290811775200711</v>
      </c>
      <c r="E5" s="13"/>
      <c r="F5" s="12">
        <f>Pivots!$L$4</f>
        <v>0.1835518474374255</v>
      </c>
      <c r="G5" s="13"/>
    </row>
  </sheetData>
  <mergeCells count="3">
    <mergeCell ref="D5:E5"/>
    <mergeCell ref="F5:G5"/>
    <mergeCell ref="B5: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8862-3453-4137-B271-D59DAA1C9F79}">
  <dimension ref="A1"/>
  <sheetViews>
    <sheetView tabSelected="1" workbookViewId="0">
      <selection activeCell="E16" sqref="E1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8C7B44D6-C987-4D6B-8047-0F69D1E74617}">
  <ds:schemaRefs/>
</ds:datastoreItem>
</file>

<file path=customXml/itemProps2.xml><?xml version="1.0" encoding="utf-8"?>
<ds:datastoreItem xmlns:ds="http://schemas.openxmlformats.org/officeDocument/2006/customXml" ds:itemID="{E47CEC6D-C587-4788-A1DA-09CD45E7B760}">
  <ds:schemaRefs/>
</ds:datastoreItem>
</file>

<file path=customXml/itemProps3.xml><?xml version="1.0" encoding="utf-8"?>
<ds:datastoreItem xmlns:ds="http://schemas.openxmlformats.org/officeDocument/2006/customXml" ds:itemID="{3B20BECD-609D-4361-97CD-C1E8A3760FCE}">
  <ds:schemaRefs/>
</ds:datastoreItem>
</file>

<file path=customXml/itemProps4.xml><?xml version="1.0" encoding="utf-8"?>
<ds:datastoreItem xmlns:ds="http://schemas.openxmlformats.org/officeDocument/2006/customXml" ds:itemID="{1F951794-8BEA-4761-98CE-F7112407B5F0}">
  <ds:schemaRefs/>
</ds:datastoreItem>
</file>

<file path=customXml/itemProps5.xml><?xml version="1.0" encoding="utf-8"?>
<ds:datastoreItem xmlns:ds="http://schemas.openxmlformats.org/officeDocument/2006/customXml" ds:itemID="{5D5ECB6C-6477-4D3A-B483-16B85508128E}">
  <ds:schemaRefs/>
</ds:datastoreItem>
</file>

<file path=customXml/itemProps6.xml><?xml version="1.0" encoding="utf-8"?>
<ds:datastoreItem xmlns:ds="http://schemas.openxmlformats.org/officeDocument/2006/customXml" ds:itemID="{266A3C8A-2AB8-409B-80B2-3F8E248BA291}">
  <ds:schemaRefs/>
</ds:datastoreItem>
</file>

<file path=customXml/itemProps7.xml><?xml version="1.0" encoding="utf-8"?>
<ds:datastoreItem xmlns:ds="http://schemas.openxmlformats.org/officeDocument/2006/customXml" ds:itemID="{69A15D70-DAF1-43B8-85C5-168EBD5880FA}">
  <ds:schemaRefs/>
</ds:datastoreItem>
</file>

<file path=customXml/itemProps8.xml><?xml version="1.0" encoding="utf-8"?>
<ds:datastoreItem xmlns:ds="http://schemas.openxmlformats.org/officeDocument/2006/customXml" ds:itemID="{415182B7-8119-4F70-AF49-3DB995C0546B}">
  <ds:schemaRefs/>
</ds:datastoreItem>
</file>

<file path=customXml/itemProps9.xml><?xml version="1.0" encoding="utf-8"?>
<ds:datastoreItem xmlns:ds="http://schemas.openxmlformats.org/officeDocument/2006/customXml" ds:itemID="{599E9F6F-AB24-42FA-AB60-F429E773C206}">
  <ds:schemaRefs/>
</ds:datastoreItem>
</file>

<file path=customXml/itemProps10.xml><?xml version="1.0" encoding="utf-8"?>
<ds:datastoreItem xmlns:ds="http://schemas.openxmlformats.org/officeDocument/2006/customXml" ds:itemID="{4CD07B49-D7BA-4FF2-A96C-AF4C5B68AEBB}">
  <ds:schemaRefs/>
</ds:datastoreItem>
</file>

<file path=customXml/itemProps11.xml><?xml version="1.0" encoding="utf-8"?>
<ds:datastoreItem xmlns:ds="http://schemas.openxmlformats.org/officeDocument/2006/customXml" ds:itemID="{EFA18FFB-B09C-4309-8141-3A189FC53535}">
  <ds:schemaRefs/>
</ds:datastoreItem>
</file>

<file path=customXml/itemProps12.xml><?xml version="1.0" encoding="utf-8"?>
<ds:datastoreItem xmlns:ds="http://schemas.openxmlformats.org/officeDocument/2006/customXml" ds:itemID="{DA18B0E5-74DE-4431-AD86-21531F6BAC7E}">
  <ds:schemaRefs/>
</ds:datastoreItem>
</file>

<file path=customXml/itemProps13.xml><?xml version="1.0" encoding="utf-8"?>
<ds:datastoreItem xmlns:ds="http://schemas.openxmlformats.org/officeDocument/2006/customXml" ds:itemID="{7074AD10-C442-459C-886C-AE7217F6FA6A}">
  <ds:schemaRefs/>
</ds:datastoreItem>
</file>

<file path=customXml/itemProps14.xml><?xml version="1.0" encoding="utf-8"?>
<ds:datastoreItem xmlns:ds="http://schemas.openxmlformats.org/officeDocument/2006/customXml" ds:itemID="{0E7CA55F-9152-4447-999C-3F2B0B1EDAAE}">
  <ds:schemaRefs/>
</ds:datastoreItem>
</file>

<file path=customXml/itemProps15.xml><?xml version="1.0" encoding="utf-8"?>
<ds:datastoreItem xmlns:ds="http://schemas.openxmlformats.org/officeDocument/2006/customXml" ds:itemID="{F35655A1-6CDD-4A84-9EEE-FE215CF44C79}">
  <ds:schemaRefs/>
</ds:datastoreItem>
</file>

<file path=customXml/itemProps16.xml><?xml version="1.0" encoding="utf-8"?>
<ds:datastoreItem xmlns:ds="http://schemas.openxmlformats.org/officeDocument/2006/customXml" ds:itemID="{256AFAF8-1E46-49E4-83E3-1A061E762218}">
  <ds:schemaRefs/>
</ds:datastoreItem>
</file>

<file path=customXml/itemProps17.xml><?xml version="1.0" encoding="utf-8"?>
<ds:datastoreItem xmlns:ds="http://schemas.openxmlformats.org/officeDocument/2006/customXml" ds:itemID="{49D66100-22EF-450D-A8F2-EFD8015BBB74}">
  <ds:schemaRefs/>
</ds:datastoreItem>
</file>

<file path=customXml/itemProps18.xml><?xml version="1.0" encoding="utf-8"?>
<ds:datastoreItem xmlns:ds="http://schemas.openxmlformats.org/officeDocument/2006/customXml" ds:itemID="{9981DBCC-8771-4A39-B816-CFCF738A135A}">
  <ds:schemaRefs/>
</ds:datastoreItem>
</file>

<file path=customXml/itemProps19.xml><?xml version="1.0" encoding="utf-8"?>
<ds:datastoreItem xmlns:ds="http://schemas.openxmlformats.org/officeDocument/2006/customXml" ds:itemID="{B91B8F76-A1B2-45AC-BC30-D6E3E3D13EE4}">
  <ds:schemaRefs/>
</ds:datastoreItem>
</file>

<file path=customXml/itemProps20.xml><?xml version="1.0" encoding="utf-8"?>
<ds:datastoreItem xmlns:ds="http://schemas.openxmlformats.org/officeDocument/2006/customXml" ds:itemID="{8EC11EBD-7B5E-4686-8E4A-5AEEA51C3076}">
  <ds:schemaRefs/>
</ds:datastoreItem>
</file>

<file path=customXml/itemProps21.xml><?xml version="1.0" encoding="utf-8"?>
<ds:datastoreItem xmlns:ds="http://schemas.openxmlformats.org/officeDocument/2006/customXml" ds:itemID="{8806AC3C-9D52-4EE2-9DAD-389D7C25D761}">
  <ds:schemaRefs/>
</ds:datastoreItem>
</file>

<file path=customXml/itemProps22.xml><?xml version="1.0" encoding="utf-8"?>
<ds:datastoreItem xmlns:ds="http://schemas.openxmlformats.org/officeDocument/2006/customXml" ds:itemID="{058C9C3C-1633-4263-AFC9-A2929206D32E}">
  <ds:schemaRefs/>
</ds:datastoreItem>
</file>

<file path=customXml/itemProps23.xml><?xml version="1.0" encoding="utf-8"?>
<ds:datastoreItem xmlns:ds="http://schemas.openxmlformats.org/officeDocument/2006/customXml" ds:itemID="{28DA0CF5-D5ED-4930-8639-68B2A2F230E5}">
  <ds:schemaRefs/>
</ds:datastoreItem>
</file>

<file path=customXml/itemProps24.xml><?xml version="1.0" encoding="utf-8"?>
<ds:datastoreItem xmlns:ds="http://schemas.openxmlformats.org/officeDocument/2006/customXml" ds:itemID="{129FE6F7-2F9A-4014-B5C5-F93F520EF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Arizona_FRED_Housing_CLEAN</vt:lpstr>
      <vt:lpstr>Arizona_Census_Housing_CLEAN</vt:lpstr>
      <vt:lpstr>Arizona_FRED_Annual_ANALYSIS</vt:lpstr>
      <vt:lpstr>Pivots</vt:lpstr>
      <vt:lpstr>Dashboard</vt:lpstr>
      <vt:lpstr>Arizona_Housing_Affordability_D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Gomez, Lizbeth</dc:creator>
  <cp:lastModifiedBy>Gomez, Lizbeth</cp:lastModifiedBy>
  <dcterms:created xsi:type="dcterms:W3CDTF">2026-09-30T21:30:07Z</dcterms:created>
  <dcterms:modified xsi:type="dcterms:W3CDTF">2026-10-02T22:35:40Z</dcterms:modified>
</cp:coreProperties>
</file>